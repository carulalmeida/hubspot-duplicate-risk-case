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Base_Unificada" sheetId="1" r:id="rId4"/>
    <sheet state="visible" name="Resumo" sheetId="2" r:id="rId5"/>
  </sheets>
  <definedNames/>
  <calcPr/>
  <extLst>
    <ext uri="GoogleSheetsCustomDataVersion2">
      <go:sheetsCustomData xmlns:go="http://customooxmlschemas.google.com/" r:id="rId6" roundtripDataChecksum="yE1Mj4f0GG0bVWCYPWNOQ8H77zeCElYtixKp11QpmW8="/>
    </ext>
  </extLst>
</workbook>
</file>

<file path=xl/sharedStrings.xml><?xml version="1.0" encoding="utf-8"?>
<sst xmlns="http://schemas.openxmlformats.org/spreadsheetml/2006/main" count="1385" uniqueCount="509">
  <si>
    <t>Resumo — Massa unificada de testes</t>
  </si>
  <si>
    <t>Métrica</t>
  </si>
  <si>
    <t>Valor</t>
  </si>
  <si>
    <t>Por que o campo de data/lote é importante</t>
  </si>
  <si>
    <t>Total de contatos</t>
  </si>
  <si>
    <t>Os 18 contatos de 18/08 permaneceram no HubSpot quando a massa de 66 contatos de 19/08 foi criada. Por isso, a execução de 19/08 analisou 84 contatos. Isso permitiu validar que um novo cadastro pode transformar um contato antigo em duplicado e que o script atualiza os dois lados do grupo. Os exemplos observados no histórico foram T18-011 ↔ CT025 e T18-012 ↔ CT065.</t>
  </si>
  <si>
    <t>Base unificada de testes — Deduplicação por telefone | 18/08 + 19/08</t>
  </si>
  <si>
    <t>Contatos do teste de 18/08</t>
  </si>
  <si>
    <t>Data do teste</t>
  </si>
  <si>
    <t>Lote do teste</t>
  </si>
  <si>
    <t>ID do contato no teste</t>
  </si>
  <si>
    <t>Contatos do teste de 19/08</t>
  </si>
  <si>
    <t>Firstname</t>
  </si>
  <si>
    <t>Lastname</t>
  </si>
  <si>
    <t>Email</t>
  </si>
  <si>
    <t>Grupos que cruzam os dois dias</t>
  </si>
  <si>
    <t>Número de telefone</t>
  </si>
  <si>
    <t>Cenário Original</t>
  </si>
  <si>
    <t>Observação</t>
  </si>
  <si>
    <t>Duplicate risk esperado original</t>
  </si>
  <si>
    <t>Parsed type</t>
  </si>
  <si>
    <t>Contatos em grupos cruzados</t>
  </si>
  <si>
    <t>Confidence regra</t>
  </si>
  <si>
    <t>Número de telefone normatizado esperado</t>
  </si>
  <si>
    <t>Critério de normatização</t>
  </si>
  <si>
    <t>Tamanho do grupo</t>
  </si>
  <si>
    <t>Duplicate risk esperado bases combinadas</t>
  </si>
  <si>
    <t>Grupos cruzados</t>
  </si>
  <si>
    <t>Atualizações retroativas observadas</t>
  </si>
  <si>
    <t>Contatos relacionados em bases cruzadas</t>
  </si>
  <si>
    <t>Impacto em bases cruzadas</t>
  </si>
  <si>
    <t>Casos do 19/08 alterados por contatos de 18/08</t>
  </si>
  <si>
    <t>Evidência alteração Hubspot</t>
  </si>
  <si>
    <t>18/08/2026</t>
  </si>
  <si>
    <t>18/08 — massa inicial</t>
  </si>
  <si>
    <t>T18-001</t>
  </si>
  <si>
    <t>Leitura das colunas de expectativa</t>
  </si>
  <si>
    <t>Ana</t>
  </si>
  <si>
    <t>Silva</t>
  </si>
  <si>
    <t>ana.phone.test@example.com</t>
  </si>
  <si>
    <t>“Duplicate risk esperado original” preserva o resultado esperado no teste daquele dia. “Duplicate risk esperado bases combinadas” recalcula os 84 contatos usando as regras da versão final do script. Isso é importante porque o código foi refinado entre as rodadas.</t>
  </si>
  <si>
    <t>(11) 99888-7766</t>
  </si>
  <si>
    <t>Mesmo telefone em formato local</t>
  </si>
  <si>
    <t>true</t>
  </si>
  <si>
    <t>local</t>
  </si>
  <si>
    <t>high</t>
  </si>
  <si>
    <t>5511998887766</t>
  </si>
  <si>
    <t>1 internacional por sufixo</t>
  </si>
  <si>
    <t>NÃO</t>
  </si>
  <si>
    <t>Casos destacados</t>
  </si>
  <si>
    <t>T18-002</t>
  </si>
  <si>
    <t>Contato anterior</t>
  </si>
  <si>
    <t>Contato novo</t>
  </si>
  <si>
    <t>João</t>
  </si>
  <si>
    <t>Telefone normalizado</t>
  </si>
  <si>
    <t>Comportamento</t>
  </si>
  <si>
    <t>Validação</t>
  </si>
  <si>
    <t>Souza</t>
  </si>
  <si>
    <t>joao.phone.test@example.com</t>
  </si>
  <si>
    <t>+55 11 99888-7766</t>
  </si>
  <si>
    <t>Mesmo telefone já com +55</t>
  </si>
  <si>
    <t>França</t>
  </si>
  <si>
    <t>Claire Martin (18/08)</t>
  </si>
  <si>
    <t>CT025 — Carla Silva (19/08)</t>
  </si>
  <si>
    <t>33142685300</t>
  </si>
  <si>
    <t>O contato antigo passou para true quando o novo contato com o mesmo telefone entrou.</t>
  </si>
  <si>
    <t>Validado no histórico do HubSpot</t>
  </si>
  <si>
    <t>Mesmo número com máscara</t>
  </si>
  <si>
    <t>Japão</t>
  </si>
  <si>
    <t>Haruto Sato (18/08)</t>
  </si>
  <si>
    <t>CT065 — Fabio Pereira (19/08)</t>
  </si>
  <si>
    <t>81312345678</t>
  </si>
  <si>
    <t>international</t>
  </si>
  <si>
    <t>Internacional direto</t>
  </si>
  <si>
    <t>T18-003</t>
  </si>
  <si>
    <t>Mary</t>
  </si>
  <si>
    <t>Stone</t>
  </si>
  <si>
    <t>mary.phone.test@example.com</t>
  </si>
  <si>
    <t>(415) 555-2671</t>
  </si>
  <si>
    <t>Número local dos EUA</t>
  </si>
  <si>
    <t>14155552671</t>
  </si>
  <si>
    <t>T18-004</t>
  </si>
  <si>
    <t>John</t>
  </si>
  <si>
    <t>Reed</t>
  </si>
  <si>
    <t>john.phone.test@example.com</t>
  </si>
  <si>
    <t>+1 415 555 2671</t>
  </si>
  <si>
    <t>Mesmo número em formato internacional</t>
  </si>
  <si>
    <t>T18-005</t>
  </si>
  <si>
    <t>Alice</t>
  </si>
  <si>
    <t>Brown</t>
  </si>
  <si>
    <t>alice.phone.test@example.com</t>
  </si>
  <si>
    <t>020 7946 0958</t>
  </si>
  <si>
    <t>Número local do Reino Unido</t>
  </si>
  <si>
    <t>Remove trunk 0 e encontra um único internacional</t>
  </si>
  <si>
    <t>442079460958</t>
  </si>
  <si>
    <t>SIM</t>
  </si>
  <si>
    <t>CT004 | Ana Santos | teste.ct004@example.com ; CT005 | Ana Pereira | teste.ct005@example.com ; CT006 | Ana Costa | teste.ct006@example.com</t>
  </si>
  <si>
    <t>Grupo ampliado por contatos de 19/08; status original permaneceu duplicado</t>
  </si>
  <si>
    <t>T18-006</t>
  </si>
  <si>
    <t>Bob</t>
  </si>
  <si>
    <t>Green</t>
  </si>
  <si>
    <t>bob.phone.test@example.com</t>
  </si>
  <si>
    <t>+44 20 7946 0958</t>
  </si>
  <si>
    <t>Mesmo número internacional</t>
  </si>
  <si>
    <t>T18-007</t>
  </si>
  <si>
    <t>Marta</t>
  </si>
  <si>
    <t>Costa</t>
  </si>
  <si>
    <t>marta.phone.test@example.com</t>
  </si>
  <si>
    <t>21 123 4567</t>
  </si>
  <si>
    <t>Número local de Portugal</t>
  </si>
  <si>
    <t>low</t>
  </si>
  <si>
    <t>LOCAL:211234567</t>
  </si>
  <si>
    <t>Local curto: sem correlação internacional</t>
  </si>
  <si>
    <t>false</t>
  </si>
  <si>
    <t>T18-008</t>
  </si>
  <si>
    <t>Tiago</t>
  </si>
  <si>
    <t>Pires</t>
  </si>
  <si>
    <t>tiago.phone.test@example.com</t>
  </si>
  <si>
    <t>+351 21 123 4567</t>
  </si>
  <si>
    <t>351211234567</t>
  </si>
  <si>
    <t>CT007 | Ana Rodrigues | teste.ct007@example.com ; CT008 | Ana Almeida | teste.ct008@example.com ; CT009 | Ana Nunes | teste.ct009@example.com</t>
  </si>
  <si>
    <t>T18-009</t>
  </si>
  <si>
    <t>Sofía</t>
  </si>
  <si>
    <t>Ruiz</t>
  </si>
  <si>
    <t>sofia.phone.test@example.com</t>
  </si>
  <si>
    <t>+34 91 123 45 67</t>
  </si>
  <si>
    <t>Telefone único</t>
  </si>
  <si>
    <t>34911234567</t>
  </si>
  <si>
    <t>T18-010</t>
  </si>
  <si>
    <t>Hans</t>
  </si>
  <si>
    <t>Müller</t>
  </si>
  <si>
    <t>hans.phone.test@example.com</t>
  </si>
  <si>
    <t>+49 30 123456</t>
  </si>
  <si>
    <t>4930123456</t>
  </si>
  <si>
    <t>T18-011</t>
  </si>
  <si>
    <t>Claire</t>
  </si>
  <si>
    <t>Martin</t>
  </si>
  <si>
    <t>claire.phone.test@example.com</t>
  </si>
  <si>
    <t>+33 1 42 68 53 00</t>
  </si>
  <si>
    <t>CT025 | Carla Silva | teste.ct025@example.com</t>
  </si>
  <si>
    <t>Atualização retroativa: passou de false para true após entrada do lote 19/08</t>
  </si>
  <si>
    <t>Validado no histórico do HubSpot: a entrada do CT025 em 19/08 atualizou Claire para duplicate_risk=true.</t>
  </si>
  <si>
    <t>T18-012</t>
  </si>
  <si>
    <t>Haruto</t>
  </si>
  <si>
    <t>Sato</t>
  </si>
  <si>
    <t>haruto.phone.test@example.com</t>
  </si>
  <si>
    <t>+81 3 1234 5678</t>
  </si>
  <si>
    <t>CT065 | Fabio Pereira | teste.ct065@example.com</t>
  </si>
  <si>
    <t>Validado no histórico do HubSpot: a entrada do CT065 em 19/08 atualizou Haruto para duplicate_risk=true.</t>
  </si>
  <si>
    <t>T18-013</t>
  </si>
  <si>
    <t>Carla</t>
  </si>
  <si>
    <t>Lima</t>
  </si>
  <si>
    <t>carla.phone.test@example.com</t>
  </si>
  <si>
    <t>11 98888-1122</t>
  </si>
  <si>
    <t>Grupo com 3 contatos duplicados</t>
  </si>
  <si>
    <t>5511988881122</t>
  </si>
  <si>
    <t>T18-014</t>
  </si>
  <si>
    <t>Pedro</t>
  </si>
  <si>
    <t>Mendes</t>
  </si>
  <si>
    <t>pedro.phone.test@example.com</t>
  </si>
  <si>
    <t>+55 (11) 98888-1122</t>
  </si>
  <si>
    <t>T18-015</t>
  </si>
  <si>
    <t>Rafael</t>
  </si>
  <si>
    <t>Nunes</t>
  </si>
  <si>
    <t>rafael.phone.test@example.com</t>
  </si>
  <si>
    <t>0055 11 98888 1122</t>
  </si>
  <si>
    <t>Formato internacional iniciado por 00</t>
  </si>
  <si>
    <t>T18-016</t>
  </si>
  <si>
    <t>NoCountry</t>
  </si>
  <si>
    <t>International</t>
  </si>
  <si>
    <t>nocountry.int.phone.test@example.com</t>
  </si>
  <si>
    <t>+55 11 97777-6666</t>
  </si>
  <si>
    <t>Sem país, mas número já internacional</t>
  </si>
  <si>
    <t>5511977776666</t>
  </si>
  <si>
    <t>T18-017</t>
  </si>
  <si>
    <t>Local</t>
  </si>
  <si>
    <t>nocountry.local.phone.test@example.com</t>
  </si>
  <si>
    <t>11977776666</t>
  </si>
  <si>
    <t>Sem país e sem código internacional</t>
  </si>
  <si>
    <t>ignore</t>
  </si>
  <si>
    <t>T18-018</t>
  </si>
  <si>
    <t>Empty</t>
  </si>
  <si>
    <t>Phone</t>
  </si>
  <si>
    <t>empty.phone.test@example.com</t>
  </si>
  <si>
    <t>Contato sem telefone</t>
  </si>
  <si>
    <t>Inválido / sem telefone</t>
  </si>
  <si>
    <t>19/08/2026</t>
  </si>
  <si>
    <t>19/08 — massa ampliada</t>
  </si>
  <si>
    <t>CT001</t>
  </si>
  <si>
    <t>teste.ct001@example.com</t>
  </si>
  <si>
    <t>+55 11 99999-0001</t>
  </si>
  <si>
    <t>Duplicado internacional explícito</t>
  </si>
  <si>
    <t>Mesmo número com formatações diferentes</t>
  </si>
  <si>
    <t>5511999990001</t>
  </si>
  <si>
    <t>CT002</t>
  </si>
  <si>
    <t>teste.ct002@example.com</t>
  </si>
  <si>
    <t>+55 (11) 99999-0001</t>
  </si>
  <si>
    <t>CT003</t>
  </si>
  <si>
    <t>Oliveira</t>
  </si>
  <si>
    <t>teste.ct003@example.com</t>
  </si>
  <si>
    <t>Duplicado internacional inferido</t>
  </si>
  <si>
    <t>Sem +, classificado como internacional inferido</t>
  </si>
  <si>
    <t>inferred</t>
  </si>
  <si>
    <t>CT004</t>
  </si>
  <si>
    <t>Santos</t>
  </si>
  <si>
    <t>teste.ct004@example.com</t>
  </si>
  <si>
    <t>Local x internacional</t>
  </si>
  <si>
    <t>Internacional explícito</t>
  </si>
  <si>
    <t>T18-005 | Alice Brown | alice.phone.test@example.com ; T18-006 | Bob Green | bob.phone.test@example.com</t>
  </si>
  <si>
    <t>Grupo também contém contato(s) de 18/08; status já era duplicado no lote 19/08</t>
  </si>
  <si>
    <t>CT005</t>
  </si>
  <si>
    <t>Pereira</t>
  </si>
  <si>
    <t>teste.ct005@example.com</t>
  </si>
  <si>
    <t>CT006</t>
  </si>
  <si>
    <t>teste.ct006@example.com</t>
  </si>
  <si>
    <t>20 7946 0958</t>
  </si>
  <si>
    <t>Local sem trunk, encontra o mesmo internacional</t>
  </si>
  <si>
    <t>CT007</t>
  </si>
  <si>
    <t>Rodrigues</t>
  </si>
  <si>
    <t>teste.ct007@example.com</t>
  </si>
  <si>
    <t>Internacional com +</t>
  </si>
  <si>
    <t>Número Portugal explícito</t>
  </si>
  <si>
    <t>T18-008 | Tiago Pires | tiago.phone.test@example.com</t>
  </si>
  <si>
    <t>CT008</t>
  </si>
  <si>
    <t>Almeida</t>
  </si>
  <si>
    <t>teste.ct008@example.com</t>
  </si>
  <si>
    <t>00351 21 123 4567</t>
  </si>
  <si>
    <t>Internacional com 00</t>
  </si>
  <si>
    <t>Mesmo número usando prefixo 00</t>
  </si>
  <si>
    <t>CT009</t>
  </si>
  <si>
    <t>teste.ct009@example.com</t>
  </si>
  <si>
    <t>Internacional inferido</t>
  </si>
  <si>
    <t>Mesmo número sem + ou 00</t>
  </si>
  <si>
    <t>CT010</t>
  </si>
  <si>
    <t>teste.ct010@example.com</t>
  </si>
  <si>
    <t>11 98888-1000</t>
  </si>
  <si>
    <t>Duplicado local</t>
  </si>
  <si>
    <t>Local sem equivalente internacional</t>
  </si>
  <si>
    <t>LOCAL:11988881000</t>
  </si>
  <si>
    <t>Mantido como local</t>
  </si>
  <si>
    <t>CT011</t>
  </si>
  <si>
    <t>Martins</t>
  </si>
  <si>
    <t>teste.ct011@example.com</t>
  </si>
  <si>
    <t>(11) 98888-1000</t>
  </si>
  <si>
    <t>Mesmo local com máscara</t>
  </si>
  <si>
    <t>CT012</t>
  </si>
  <si>
    <t>Ferreira</t>
  </si>
  <si>
    <t>teste.ct012@example.com</t>
  </si>
  <si>
    <t>11988881000</t>
  </si>
  <si>
    <t>Mesmo local somente dígitos</t>
  </si>
  <si>
    <t>CT013</t>
  </si>
  <si>
    <t>Bruno</t>
  </si>
  <si>
    <t>teste.ct013@example.com</t>
  </si>
  <si>
    <t>+55 11 97777-2000 ramal 123</t>
  </si>
  <si>
    <t>Remoção de ramal</t>
  </si>
  <si>
    <t>Ramal em português</t>
  </si>
  <si>
    <t>5511977772000</t>
  </si>
  <si>
    <t>CT014</t>
  </si>
  <si>
    <t>teste.ct014@example.com</t>
  </si>
  <si>
    <t>+55 11 97777-2000 ext. 45</t>
  </si>
  <si>
    <t>Extensão abreviada</t>
  </si>
  <si>
    <t>CT015</t>
  </si>
  <si>
    <t>teste.ct015@example.com</t>
  </si>
  <si>
    <t>+55 11 97777-2000 x99</t>
  </si>
  <si>
    <t>Extensão com x</t>
  </si>
  <si>
    <t>CT016</t>
  </si>
  <si>
    <t>teste.ct016@example.com</t>
  </si>
  <si>
    <t>Telefone inválido/ausente</t>
  </si>
  <si>
    <t>Valor nulo</t>
  </si>
  <si>
    <t>CT017</t>
  </si>
  <si>
    <t>teste.ct017@example.com</t>
  </si>
  <si>
    <t>String vazia</t>
  </si>
  <si>
    <t>CT018</t>
  </si>
  <si>
    <t>teste.ct018@example.com</t>
  </si>
  <si>
    <t>ABC DEF</t>
  </si>
  <si>
    <t>Sem dígitos</t>
  </si>
  <si>
    <t>CT019</t>
  </si>
  <si>
    <t>teste.ct019@example.com</t>
  </si>
  <si>
    <t>1234567</t>
  </si>
  <si>
    <t>Menos de 8 dígitos</t>
  </si>
  <si>
    <t>CT020</t>
  </si>
  <si>
    <t>teste.ct020@example.com</t>
  </si>
  <si>
    <t>+1234567</t>
  </si>
  <si>
    <t>Internacional curto demais</t>
  </si>
  <si>
    <t>CT021</t>
  </si>
  <si>
    <t>teste.ct021@example.com</t>
  </si>
  <si>
    <t>+55 21 98888-3001</t>
  </si>
  <si>
    <t>Único internacional</t>
  </si>
  <si>
    <t>Sem duplicidade</t>
  </si>
  <si>
    <t>5521988883001</t>
  </si>
  <si>
    <t>CT022</t>
  </si>
  <si>
    <t>teste.ct022@example.com</t>
  </si>
  <si>
    <t>+55 31 98888-3002</t>
  </si>
  <si>
    <t>5531988883002</t>
  </si>
  <si>
    <t>CT023</t>
  </si>
  <si>
    <t>teste.ct023@example.com</t>
  </si>
  <si>
    <t>+1 212 555 0111</t>
  </si>
  <si>
    <t>Estados Unidos</t>
  </si>
  <si>
    <t>12125550111</t>
  </si>
  <si>
    <t>CT024</t>
  </si>
  <si>
    <t>teste.ct024@example.com</t>
  </si>
  <si>
    <t>+49 30 12345678</t>
  </si>
  <si>
    <t>Alemanha</t>
  </si>
  <si>
    <t>493012345678</t>
  </si>
  <si>
    <t>CT025</t>
  </si>
  <si>
    <t>teste.ct025@example.com</t>
  </si>
  <si>
    <t>T18-011 | Claire Martin | claire.phone.test@example.com</t>
  </si>
  <si>
    <t>Resultado alterado pelo lote anterior: contato de 18/08 tornou este registro duplicado</t>
  </si>
  <si>
    <t>Validado no HubSpot: CT025 entrou duplicado porque Claire, do lote 18/08, já tinha o mesmo telefone.</t>
  </si>
  <si>
    <t>CT026</t>
  </si>
  <si>
    <t>teste.ct026@example.com</t>
  </si>
  <si>
    <t>0055 41 96666-4000</t>
  </si>
  <si>
    <t>Prefixo internacional 00</t>
  </si>
  <si>
    <t>Brasil usando 00</t>
  </si>
  <si>
    <t>5541966664000</t>
  </si>
  <si>
    <t>CT027</t>
  </si>
  <si>
    <t>teste.ct027@example.com</t>
  </si>
  <si>
    <t>+55 41 96666-4000</t>
  </si>
  <si>
    <t>Mesmo número usando +</t>
  </si>
  <si>
    <t>CT028</t>
  </si>
  <si>
    <t>teste.ct028@example.com</t>
  </si>
  <si>
    <t>5511987654321</t>
  </si>
  <si>
    <t>Formato longo sem +</t>
  </si>
  <si>
    <t>CT029</t>
  </si>
  <si>
    <t>teste.ct029@example.com</t>
  </si>
  <si>
    <t>+55 11 98765-4321</t>
  </si>
  <si>
    <t>Mesmo número com +</t>
  </si>
  <si>
    <t>CT030</t>
  </si>
  <si>
    <t>teste.ct030@example.com</t>
  </si>
  <si>
    <t>01198765432</t>
  </si>
  <si>
    <t>Trunk local</t>
  </si>
  <si>
    <t>Remove zero inicial</t>
  </si>
  <si>
    <t>LOCAL:1198765432</t>
  </si>
  <si>
    <t>CT031</t>
  </si>
  <si>
    <t>teste.ct031@example.com</t>
  </si>
  <si>
    <t>1198765432</t>
  </si>
  <si>
    <t>Mesmo valor já sem zero</t>
  </si>
  <si>
    <t>CT032</t>
  </si>
  <si>
    <t>teste.ct032@example.com</t>
  </si>
  <si>
    <t>+44 20 5555 1234</t>
  </si>
  <si>
    <t>Ambiguidade local</t>
  </si>
  <si>
    <t>Candidato internacional 1</t>
  </si>
  <si>
    <t>442055551234</t>
  </si>
  <si>
    <t>CT033</t>
  </si>
  <si>
    <t>teste.ct033@example.com</t>
  </si>
  <si>
    <t>+33 20 5555 1234</t>
  </si>
  <si>
    <t>Candidato internacional 2</t>
  </si>
  <si>
    <t>332055551234</t>
  </si>
  <si>
    <t>CT034</t>
  </si>
  <si>
    <t>teste.ct034@example.com</t>
  </si>
  <si>
    <t>20 5555 1234</t>
  </si>
  <si>
    <t>Tem dois candidatos; deve permanecer LOCAL</t>
  </si>
  <si>
    <t>LOCAL:2055551234</t>
  </si>
  <si>
    <t>Ambíguo: múltiplos internacionais</t>
  </si>
  <si>
    <t>CT035</t>
  </si>
  <si>
    <t>teste.ct035@example.com</t>
  </si>
  <si>
    <t>020 5555 1234</t>
  </si>
  <si>
    <t>Mesmo local após remover trunk; também permanece LOCAL</t>
  </si>
  <si>
    <t>CT036</t>
  </si>
  <si>
    <t>teste.ct036@example.com</t>
  </si>
  <si>
    <t>Duplicado local ambíguo</t>
  </si>
  <si>
    <t>Duplica com CT034/CT035 no grupo LOCAL</t>
  </si>
  <si>
    <t>CT037</t>
  </si>
  <si>
    <t>Diego</t>
  </si>
  <si>
    <t>teste.ct037@example.com</t>
  </si>
  <si>
    <t>+55 (11) 95555.5000</t>
  </si>
  <si>
    <t>Máscaras diversas</t>
  </si>
  <si>
    <t>Pontos e parênteses</t>
  </si>
  <si>
    <t>5511955555000</t>
  </si>
  <si>
    <t>CT038</t>
  </si>
  <si>
    <t>teste.ct038@example.com</t>
  </si>
  <si>
    <t>+55-11-95555-5000</t>
  </si>
  <si>
    <t>Hífens</t>
  </si>
  <si>
    <t>CT039</t>
  </si>
  <si>
    <t>teste.ct039@example.com</t>
  </si>
  <si>
    <t>+55 11 95555 5000</t>
  </si>
  <si>
    <t>Espaços</t>
  </si>
  <si>
    <t>CT040</t>
  </si>
  <si>
    <t>teste.ct040@example.com</t>
  </si>
  <si>
    <t>+1 415 555 0188 extension 123</t>
  </si>
  <si>
    <t>Extensão em inglês</t>
  </si>
  <si>
    <t>extension</t>
  </si>
  <si>
    <t>14155550188</t>
  </si>
  <si>
    <t>CT041</t>
  </si>
  <si>
    <t>teste.ct041@example.com</t>
  </si>
  <si>
    <t>+1 415 555 0188 ext 123</t>
  </si>
  <si>
    <t>ext sem ponto</t>
  </si>
  <si>
    <t>CT042</t>
  </si>
  <si>
    <t>teste.ct042@example.com</t>
  </si>
  <si>
    <t>+1 415 555 0188 x123</t>
  </si>
  <si>
    <t>x</t>
  </si>
  <si>
    <t>CT043</t>
  </si>
  <si>
    <t>teste.ct043@example.com</t>
  </si>
  <si>
    <t>87654321</t>
  </si>
  <si>
    <t>Limite mínimo local</t>
  </si>
  <si>
    <t>Exatamente 8 dígitos</t>
  </si>
  <si>
    <t>LOCAL:87654321</t>
  </si>
  <si>
    <t>CT044</t>
  </si>
  <si>
    <t>teste.ct044@example.com</t>
  </si>
  <si>
    <t>Mesmo número local</t>
  </si>
  <si>
    <t>CT045</t>
  </si>
  <si>
    <t>teste.ct045@example.com</t>
  </si>
  <si>
    <t>012345678</t>
  </si>
  <si>
    <t>Trunk no limite</t>
  </si>
  <si>
    <t>9 dígitos; remove 0 e sobra 8</t>
  </si>
  <si>
    <t>LOCAL:12345678</t>
  </si>
  <si>
    <t>CT046</t>
  </si>
  <si>
    <t>teste.ct046@example.com</t>
  </si>
  <si>
    <t>12345678</t>
  </si>
  <si>
    <t>Mesmo número já normalizado</t>
  </si>
  <si>
    <t>CT047</t>
  </si>
  <si>
    <t>teste.ct047@example.com</t>
  </si>
  <si>
    <t>+123456789012345</t>
  </si>
  <si>
    <t>Limite máximo internacional</t>
  </si>
  <si>
    <t>15 dígitos</t>
  </si>
  <si>
    <t>123456789012345</t>
  </si>
  <si>
    <t>CT048</t>
  </si>
  <si>
    <t>teste.ct048@example.com</t>
  </si>
  <si>
    <t>00123456789012345</t>
  </si>
  <si>
    <t>Mesmo valor com 00</t>
  </si>
  <si>
    <t>CT049</t>
  </si>
  <si>
    <t>Elisa</t>
  </si>
  <si>
    <t>teste.ct049@example.com</t>
  </si>
  <si>
    <t>+1234567890123456</t>
  </si>
  <si>
    <t>Internacional inválido</t>
  </si>
  <si>
    <t>16 dígitos excede limite</t>
  </si>
  <si>
    <t>CT050</t>
  </si>
  <si>
    <t>teste.ct050@example.com</t>
  </si>
  <si>
    <t>001234567890123456</t>
  </si>
  <si>
    <t>16 dígitos após 00</t>
  </si>
  <si>
    <t>CT051</t>
  </si>
  <si>
    <t>teste.ct051@example.com</t>
  </si>
  <si>
    <t>21999998888</t>
  </si>
  <si>
    <t>Local brasileiro sem DDI</t>
  </si>
  <si>
    <t>11 dígitos; continua local</t>
  </si>
  <si>
    <t>LOCAL:21999998888</t>
  </si>
  <si>
    <t>CT052</t>
  </si>
  <si>
    <t>teste.ct052@example.com</t>
  </si>
  <si>
    <t>(21) 99999-8888</t>
  </si>
  <si>
    <t>CT053</t>
  </si>
  <si>
    <t>teste.ct053@example.com</t>
  </si>
  <si>
    <t>+55 21 97777-6666</t>
  </si>
  <si>
    <t>Correlação local x BR internacional</t>
  </si>
  <si>
    <t>Internacional</t>
  </si>
  <si>
    <t>5521977776666</t>
  </si>
  <si>
    <t>CT054</t>
  </si>
  <si>
    <t>teste.ct054@example.com</t>
  </si>
  <si>
    <t>21 97777-6666</t>
  </si>
  <si>
    <t>Local encontra um candidato</t>
  </si>
  <si>
    <t>CT055</t>
  </si>
  <si>
    <t>teste.ct055@example.com</t>
  </si>
  <si>
    <t>021 97777-6666</t>
  </si>
  <si>
    <t>Trunk removido e encontra candidato</t>
  </si>
  <si>
    <t>CT056</t>
  </si>
  <si>
    <t>teste.ct056@example.com</t>
  </si>
  <si>
    <t>+55 11 94444-7001</t>
  </si>
  <si>
    <t>Números semelhantes não duplicados</t>
  </si>
  <si>
    <t>Final 7001</t>
  </si>
  <si>
    <t>5511944447001</t>
  </si>
  <si>
    <t>CT057</t>
  </si>
  <si>
    <t>teste.ct057@example.com</t>
  </si>
  <si>
    <t>+55 11 94444-7002</t>
  </si>
  <si>
    <t>Final 7002</t>
  </si>
  <si>
    <t>5511944447002</t>
  </si>
  <si>
    <t>CT058</t>
  </si>
  <si>
    <t>teste.ct058@example.com</t>
  </si>
  <si>
    <t>+55 11 94444-7003</t>
  </si>
  <si>
    <t>Final 7003</t>
  </si>
  <si>
    <t>5511944447003</t>
  </si>
  <si>
    <t>CT059</t>
  </si>
  <si>
    <t>teste.ct059@example.com</t>
  </si>
  <si>
    <t xml:space="preserve">   +55 85 93333-8000   </t>
  </si>
  <si>
    <t>Espaços externos</t>
  </si>
  <si>
    <t>Trim antes da análise</t>
  </si>
  <si>
    <t>5585933338000</t>
  </si>
  <si>
    <t>CT060</t>
  </si>
  <si>
    <t>teste.ct060@example.com</t>
  </si>
  <si>
    <t>+55 85 93333-8000</t>
  </si>
  <si>
    <t>Mesmo número sem espaços</t>
  </si>
  <si>
    <t>CT061</t>
  </si>
  <si>
    <t>Fabio</t>
  </si>
  <si>
    <t>teste.ct061@example.com</t>
  </si>
  <si>
    <t>+55 19 92222-9000x123</t>
  </si>
  <si>
    <t>Ramal sem espaço</t>
  </si>
  <si>
    <t>Regex aceita x colado</t>
  </si>
  <si>
    <t>5519922229000</t>
  </si>
  <si>
    <t>CT062</t>
  </si>
  <si>
    <t>teste.ct062@example.com</t>
  </si>
  <si>
    <t>+55 19 92222-9000</t>
  </si>
  <si>
    <t>Mesmo número sem ramal</t>
  </si>
  <si>
    <t>CT063</t>
  </si>
  <si>
    <t>teste.ct063@example.com</t>
  </si>
  <si>
    <t>4133334444</t>
  </si>
  <si>
    <t>Telefone local fixo</t>
  </si>
  <si>
    <t>Primeiro registro</t>
  </si>
  <si>
    <t>LOCAL:4133334444</t>
  </si>
  <si>
    <t>CT064</t>
  </si>
  <si>
    <t>teste.ct064@example.com</t>
  </si>
  <si>
    <t>(41) 3333-4444</t>
  </si>
  <si>
    <t>Mesmo telefone com máscara</t>
  </si>
  <si>
    <t>CT065</t>
  </si>
  <si>
    <t>teste.ct065@example.com</t>
  </si>
  <si>
    <t>T18-012 | Haruto Sato | haruto.phone.test@example.com</t>
  </si>
  <si>
    <t>Validado no HubSpot: CT065 entrou duplicado porque Haruto, do lote 18/08, já tinha o mesmo telefone.</t>
  </si>
  <si>
    <t>CT066</t>
  </si>
  <si>
    <t>teste.ct066@example.com</t>
  </si>
  <si>
    <t>+61 2 9374 4000</t>
  </si>
  <si>
    <t>Austrália</t>
  </si>
  <si>
    <t>61293744000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</si>
</sst>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5">
    <font>
      <sz val="11.0"/>
      <color rgb="FF000000"/>
      <name val="Carlito"/>
      <scheme val="minor"/>
    </font>
    <font>
      <b/>
      <sz val="11.0"/>
      <color rgb="FFFFFFFF"/>
      <name val="Arial"/>
    </font>
    <font>
      <sz val="11.0"/>
      <color theme="1"/>
      <name val="Arial"/>
    </font>
    <font>
      <b/>
      <sz val="11.0"/>
      <color theme="1"/>
      <name val="Arial"/>
    </font>
    <font>
      <b/>
      <sz val="11.0"/>
      <color rgb="FF1F2937"/>
      <name val="Arial"/>
    </font>
  </fonts>
  <fills count="7">
    <fill>
      <patternFill patternType="none"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D9EAF7"/>
        <bgColor rgb="FFD9EAF7"/>
      </patternFill>
    </fill>
    <fill>
      <patternFill patternType="solid">
        <fgColor rgb="FFF8FAFC"/>
        <bgColor rgb="FFF8FAFC"/>
      </patternFill>
    </fill>
    <fill>
      <patternFill patternType="solid">
        <fgColor theme="0"/>
        <bgColor theme="0"/>
      </patternFill>
    </fill>
    <fill>
      <patternFill patternType="solid">
        <fgColor rgb="FFEAF2F8"/>
        <bgColor rgb="FFEAF2F8"/>
      </patternFill>
    </fill>
  </fills>
  <borders count="1">
    <border/>
  </borders>
  <cellStyleXfs count="1">
    <xf borderId="0" fillId="0" fontId="0" numFmtId="0" applyAlignment="1" applyFont="1"/>
  </cellStyleXfs>
  <cellXfs count="13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/>
    </xf>
    <xf borderId="0" fillId="0" fontId="2" numFmtId="0" xfId="0" applyFont="1"/>
    <xf borderId="0" fillId="3" fontId="3" numFmtId="0" xfId="0" applyAlignment="1" applyFill="1" applyFont="1">
      <alignment horizontal="center"/>
    </xf>
    <xf borderId="0" fillId="4" fontId="2" numFmtId="0" xfId="0" applyAlignment="1" applyFill="1" applyFont="1">
      <alignment readingOrder="0" shrinkToFit="0" vertical="top" wrapText="1"/>
    </xf>
    <xf borderId="0" fillId="5" fontId="1" numFmtId="0" xfId="0" applyAlignment="1" applyFill="1" applyFont="1">
      <alignment horizontal="center" vertical="center"/>
    </xf>
    <xf borderId="0" fillId="2" fontId="1" numFmtId="0" xfId="0" applyAlignment="1" applyFill="1" applyFont="1">
      <alignment horizontal="center" readingOrder="0" shrinkToFit="0" vertical="center" wrapText="1"/>
    </xf>
    <xf borderId="0" fillId="5" fontId="2" numFmtId="0" xfId="0" applyAlignment="1" applyFill="1" applyFont="1">
      <alignment shrinkToFit="0" vertical="top" wrapText="1"/>
    </xf>
    <xf borderId="0" fillId="6" fontId="4" numFmtId="0" xfId="0" applyFill="1" applyFont="1"/>
    <xf borderId="0" fillId="0" fontId="2" numFmtId="0" xfId="0" applyAlignment="1" applyFont="1">
      <alignment readingOrder="0" shrinkToFit="0" vertical="top" wrapText="1"/>
    </xf>
    <xf borderId="0" fillId="3" fontId="3" numFmtId="0" xfId="0" applyAlignment="1" applyFill="1" applyFont="1">
      <alignment horizontal="center" shrinkToFit="0" wrapText="1"/>
    </xf>
    <xf borderId="0" fillId="0" fontId="2" numFmtId="0" xfId="0" applyAlignment="1" applyFont="1">
      <alignment shrinkToFit="0" wrapText="1"/>
    </xf>
    <xf borderId="0" fillId="5" fontId="2" numFmtId="0" xfId="0" applyFill="1" applyFont="1"/>
  </cellXfs>
  <cellStyles count="1">
    <cellStyle xfId="0" name="Normal" builtinId="0"/>
  </cellStyles>
  <dxfs count="10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ont/>
      <fill>
        <patternFill patternType="solid">
          <fgColor rgb="FFFFF7E6"/>
          <bgColor rgb="FFFFF7E6"/>
        </patternFill>
      </fill>
      <border/>
    </dxf>
    <dxf>
      <font/>
      <fill>
        <patternFill patternType="solid">
          <fgColor rgb="FFE8F4FD"/>
          <bgColor rgb="FFE8F4FD"/>
        </patternFill>
      </fill>
      <border/>
    </dxf>
    <dxf>
      <font>
        <b/>
        <color rgb="FFB91C1C"/>
      </font>
      <fill>
        <patternFill patternType="solid">
          <fgColor rgb="FFFCE8E6"/>
          <bgColor rgb="FFFCE8E6"/>
        </patternFill>
      </fill>
      <border/>
    </dxf>
    <dxf>
      <font>
        <color rgb="FF166534"/>
      </font>
      <fill>
        <patternFill patternType="solid">
          <fgColor rgb="FFE6F4EA"/>
          <bgColor rgb="FFE6F4EA"/>
        </patternFill>
      </fill>
      <border/>
    </dxf>
    <dxf>
      <font>
        <b/>
        <color rgb="FF92400E"/>
      </font>
      <fill>
        <patternFill patternType="solid">
          <fgColor rgb="FFFEF3C7"/>
          <bgColor rgb="FFFEF3C7"/>
        </patternFill>
      </fill>
      <border/>
    </dxf>
  </dxfs>
  <tableStyles count="1">
    <tableStyle count="4" pivot="0" name="Base_Unificada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2:T86" displayName="BaseUnificadaTable" name="BaseUnificadaTable" id="1">
  <tableColumns count="20">
    <tableColumn name="Data do teste" id="1"/>
    <tableColumn name="Lote do teste" id="2"/>
    <tableColumn name="ID do contato no teste" id="3"/>
    <tableColumn name="Firstname" id="4"/>
    <tableColumn name="Lastname" id="5"/>
    <tableColumn name="Email" id="6"/>
    <tableColumn name="Número de telefone" id="7"/>
    <tableColumn name="Cenário Original" id="8"/>
    <tableColumn name="Observação" id="9"/>
    <tableColumn name="Duplicate risk esperado original" id="10"/>
    <tableColumn name="Parsed type" id="11"/>
    <tableColumn name="Confidence regra" id="12"/>
    <tableColumn name="Número de telefone normatizado esperado" id="13"/>
    <tableColumn name="Critério de normatização" id="14"/>
    <tableColumn name="Tamanho do grupo" id="15"/>
    <tableColumn name="Duplicate risk esperado bases combinadas" id="16"/>
    <tableColumn name="Grupos cruzados" id="17"/>
    <tableColumn name="Contatos relacionados em bases cruzadas" id="18"/>
    <tableColumn name="Impacto em bases cruzadas" id="19"/>
    <tableColumn name="Evidência alteração Hubspot" id="20"/>
  </tableColumns>
  <tableStyleInfo name="Base_Unificada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3.0"/>
    <col customWidth="1" min="2" max="2" width="22.0"/>
    <col customWidth="1" min="3" max="3" width="18.5"/>
    <col customWidth="1" min="4" max="4" width="15.0"/>
    <col customWidth="1" min="5" max="5" width="17.0"/>
    <col customWidth="1" min="6" max="6" width="31.0"/>
    <col customWidth="1" min="7" max="7" width="24.0"/>
    <col customWidth="1" min="8" max="8" width="32.0"/>
    <col customWidth="1" min="9" max="9" width="38.0"/>
    <col customWidth="1" min="10" max="10" width="25.0"/>
    <col customWidth="1" min="11" max="12" width="18.0"/>
    <col customWidth="1" min="13" max="13" width="27.0"/>
    <col customWidth="1" min="14" max="14" width="34.0"/>
    <col customWidth="1" min="15" max="15" width="20.0"/>
    <col customWidth="1" min="16" max="16" width="28.0"/>
    <col customWidth="1" min="17" max="17" width="18.0"/>
    <col customWidth="1" min="18" max="18" width="44.0"/>
    <col customWidth="1" min="19" max="20" width="48.0"/>
  </cols>
  <sheetData>
    <row r="1" ht="30.0" customHeight="1">
      <c r="A1" s="5" t="s">
        <v>6</v>
      </c>
    </row>
    <row r="2" ht="45.0" customHeight="1">
      <c r="A2" s="6" t="s">
        <v>8</v>
      </c>
      <c r="B2" s="6" t="s">
        <v>9</v>
      </c>
      <c r="C2" s="6" t="s">
        <v>10</v>
      </c>
      <c r="D2" s="6" t="s">
        <v>12</v>
      </c>
      <c r="E2" s="6" t="s">
        <v>13</v>
      </c>
      <c r="F2" s="6" t="s">
        <v>14</v>
      </c>
      <c r="G2" s="6" t="s">
        <v>16</v>
      </c>
      <c r="H2" s="6" t="s">
        <v>17</v>
      </c>
      <c r="I2" s="6" t="s">
        <v>18</v>
      </c>
      <c r="J2" s="6" t="s">
        <v>19</v>
      </c>
      <c r="K2" s="6" t="s">
        <v>20</v>
      </c>
      <c r="L2" s="6" t="s">
        <v>22</v>
      </c>
      <c r="M2" s="6" t="s">
        <v>23</v>
      </c>
      <c r="N2" s="6" t="s">
        <v>24</v>
      </c>
      <c r="O2" s="6" t="s">
        <v>25</v>
      </c>
      <c r="P2" s="6" t="s">
        <v>26</v>
      </c>
      <c r="Q2" s="6" t="s">
        <v>27</v>
      </c>
      <c r="R2" s="6" t="s">
        <v>29</v>
      </c>
      <c r="S2" s="6" t="s">
        <v>30</v>
      </c>
      <c r="T2" s="6" t="s">
        <v>32</v>
      </c>
    </row>
    <row r="3">
      <c r="A3" s="7" t="s">
        <v>33</v>
      </c>
      <c r="B3" s="7" t="s">
        <v>34</v>
      </c>
      <c r="C3" s="7" t="s">
        <v>35</v>
      </c>
      <c r="D3" s="7" t="s">
        <v>37</v>
      </c>
      <c r="E3" s="7" t="s">
        <v>38</v>
      </c>
      <c r="F3" s="7" t="s">
        <v>39</v>
      </c>
      <c r="G3" s="7" t="s">
        <v>41</v>
      </c>
      <c r="H3" s="7" t="s">
        <v>42</v>
      </c>
      <c r="I3" s="7"/>
      <c r="J3" s="7" t="s">
        <v>43</v>
      </c>
      <c r="K3" s="7" t="s">
        <v>44</v>
      </c>
      <c r="L3" s="7" t="s">
        <v>45</v>
      </c>
      <c r="M3" s="7" t="s">
        <v>46</v>
      </c>
      <c r="N3" s="7" t="s">
        <v>47</v>
      </c>
      <c r="O3" s="7">
        <v>2.0</v>
      </c>
      <c r="P3" s="7" t="s">
        <v>43</v>
      </c>
      <c r="Q3" s="7" t="s">
        <v>48</v>
      </c>
      <c r="R3" s="7"/>
      <c r="S3" s="7"/>
      <c r="T3" s="7"/>
    </row>
    <row r="4">
      <c r="A4" s="7" t="s">
        <v>33</v>
      </c>
      <c r="B4" s="7" t="s">
        <v>34</v>
      </c>
      <c r="C4" s="7" t="s">
        <v>50</v>
      </c>
      <c r="D4" s="7" t="s">
        <v>53</v>
      </c>
      <c r="E4" s="7" t="s">
        <v>57</v>
      </c>
      <c r="F4" s="7" t="s">
        <v>58</v>
      </c>
      <c r="G4" s="7" t="s">
        <v>59</v>
      </c>
      <c r="H4" s="7" t="s">
        <v>60</v>
      </c>
      <c r="I4" s="7" t="s">
        <v>67</v>
      </c>
      <c r="J4" s="7" t="s">
        <v>43</v>
      </c>
      <c r="K4" s="7" t="s">
        <v>72</v>
      </c>
      <c r="L4" s="7" t="s">
        <v>45</v>
      </c>
      <c r="M4" s="7" t="s">
        <v>46</v>
      </c>
      <c r="N4" s="7" t="s">
        <v>73</v>
      </c>
      <c r="O4" s="7">
        <v>2.0</v>
      </c>
      <c r="P4" s="7" t="s">
        <v>43</v>
      </c>
      <c r="Q4" s="7" t="s">
        <v>48</v>
      </c>
      <c r="R4" s="7"/>
      <c r="S4" s="7"/>
      <c r="T4" s="7"/>
    </row>
    <row r="5">
      <c r="A5" s="7" t="s">
        <v>33</v>
      </c>
      <c r="B5" s="7" t="s">
        <v>34</v>
      </c>
      <c r="C5" s="7" t="s">
        <v>74</v>
      </c>
      <c r="D5" s="7" t="s">
        <v>75</v>
      </c>
      <c r="E5" s="7" t="s">
        <v>76</v>
      </c>
      <c r="F5" s="7" t="s">
        <v>77</v>
      </c>
      <c r="G5" s="7" t="s">
        <v>78</v>
      </c>
      <c r="H5" s="7" t="s">
        <v>79</v>
      </c>
      <c r="I5" s="7"/>
      <c r="J5" s="7" t="s">
        <v>43</v>
      </c>
      <c r="K5" s="7" t="s">
        <v>44</v>
      </c>
      <c r="L5" s="7" t="s">
        <v>45</v>
      </c>
      <c r="M5" s="7" t="s">
        <v>80</v>
      </c>
      <c r="N5" s="7" t="s">
        <v>47</v>
      </c>
      <c r="O5" s="7">
        <v>2.0</v>
      </c>
      <c r="P5" s="7" t="s">
        <v>43</v>
      </c>
      <c r="Q5" s="7" t="s">
        <v>48</v>
      </c>
      <c r="R5" s="7"/>
      <c r="S5" s="7"/>
      <c r="T5" s="7"/>
    </row>
    <row r="6">
      <c r="A6" s="7" t="s">
        <v>33</v>
      </c>
      <c r="B6" s="7" t="s">
        <v>34</v>
      </c>
      <c r="C6" s="7" t="s">
        <v>81</v>
      </c>
      <c r="D6" s="7" t="s">
        <v>82</v>
      </c>
      <c r="E6" s="7" t="s">
        <v>83</v>
      </c>
      <c r="F6" s="7" t="s">
        <v>84</v>
      </c>
      <c r="G6" s="7" t="s">
        <v>85</v>
      </c>
      <c r="H6" s="7" t="s">
        <v>86</v>
      </c>
      <c r="I6" s="7"/>
      <c r="J6" s="7" t="s">
        <v>43</v>
      </c>
      <c r="K6" s="7" t="s">
        <v>72</v>
      </c>
      <c r="L6" s="7" t="s">
        <v>45</v>
      </c>
      <c r="M6" s="7" t="s">
        <v>80</v>
      </c>
      <c r="N6" s="7" t="s">
        <v>73</v>
      </c>
      <c r="O6" s="7">
        <v>2.0</v>
      </c>
      <c r="P6" s="7" t="s">
        <v>43</v>
      </c>
      <c r="Q6" s="7" t="s">
        <v>48</v>
      </c>
      <c r="R6" s="7"/>
      <c r="S6" s="7"/>
      <c r="T6" s="7"/>
    </row>
    <row r="7">
      <c r="A7" s="7" t="s">
        <v>33</v>
      </c>
      <c r="B7" s="7" t="s">
        <v>34</v>
      </c>
      <c r="C7" s="7" t="s">
        <v>87</v>
      </c>
      <c r="D7" s="7" t="s">
        <v>88</v>
      </c>
      <c r="E7" s="7" t="s">
        <v>89</v>
      </c>
      <c r="F7" s="7" t="s">
        <v>90</v>
      </c>
      <c r="G7" s="7" t="s">
        <v>91</v>
      </c>
      <c r="H7" s="7" t="s">
        <v>92</v>
      </c>
      <c r="I7" s="7" t="s">
        <v>93</v>
      </c>
      <c r="J7" s="7" t="s">
        <v>43</v>
      </c>
      <c r="K7" s="7" t="s">
        <v>44</v>
      </c>
      <c r="L7" s="7" t="s">
        <v>45</v>
      </c>
      <c r="M7" s="7" t="s">
        <v>94</v>
      </c>
      <c r="N7" s="7" t="s">
        <v>47</v>
      </c>
      <c r="O7" s="7">
        <v>5.0</v>
      </c>
      <c r="P7" s="7" t="s">
        <v>43</v>
      </c>
      <c r="Q7" s="7" t="s">
        <v>95</v>
      </c>
      <c r="R7" s="7" t="s">
        <v>96</v>
      </c>
      <c r="S7" s="7" t="s">
        <v>97</v>
      </c>
      <c r="T7" s="7"/>
    </row>
    <row r="8">
      <c r="A8" s="7" t="s">
        <v>33</v>
      </c>
      <c r="B8" s="7" t="s">
        <v>34</v>
      </c>
      <c r="C8" s="7" t="s">
        <v>98</v>
      </c>
      <c r="D8" s="7" t="s">
        <v>99</v>
      </c>
      <c r="E8" s="7" t="s">
        <v>100</v>
      </c>
      <c r="F8" s="7" t="s">
        <v>101</v>
      </c>
      <c r="G8" s="7" t="s">
        <v>102</v>
      </c>
      <c r="H8" s="7" t="s">
        <v>103</v>
      </c>
      <c r="I8" s="7"/>
      <c r="J8" s="7" t="s">
        <v>43</v>
      </c>
      <c r="K8" s="7" t="s">
        <v>72</v>
      </c>
      <c r="L8" s="7" t="s">
        <v>45</v>
      </c>
      <c r="M8" s="7" t="s">
        <v>94</v>
      </c>
      <c r="N8" s="7" t="s">
        <v>73</v>
      </c>
      <c r="O8" s="7">
        <v>5.0</v>
      </c>
      <c r="P8" s="7" t="s">
        <v>43</v>
      </c>
      <c r="Q8" s="7" t="s">
        <v>95</v>
      </c>
      <c r="R8" s="7" t="s">
        <v>96</v>
      </c>
      <c r="S8" s="7" t="s">
        <v>97</v>
      </c>
      <c r="T8" s="7"/>
    </row>
    <row r="9">
      <c r="A9" s="7" t="s">
        <v>33</v>
      </c>
      <c r="B9" s="7" t="s">
        <v>34</v>
      </c>
      <c r="C9" s="7" t="s">
        <v>104</v>
      </c>
      <c r="D9" s="7" t="s">
        <v>105</v>
      </c>
      <c r="E9" s="7" t="s">
        <v>106</v>
      </c>
      <c r="F9" s="7" t="s">
        <v>107</v>
      </c>
      <c r="G9" s="7" t="s">
        <v>108</v>
      </c>
      <c r="H9" s="7" t="s">
        <v>109</v>
      </c>
      <c r="I9" s="7"/>
      <c r="J9" s="7" t="s">
        <v>43</v>
      </c>
      <c r="K9" s="7" t="s">
        <v>44</v>
      </c>
      <c r="L9" s="7" t="s">
        <v>110</v>
      </c>
      <c r="M9" s="7" t="s">
        <v>111</v>
      </c>
      <c r="N9" s="7" t="s">
        <v>112</v>
      </c>
      <c r="O9" s="7">
        <v>1.0</v>
      </c>
      <c r="P9" s="7" t="s">
        <v>113</v>
      </c>
      <c r="Q9" s="7" t="s">
        <v>48</v>
      </c>
      <c r="R9" s="7"/>
      <c r="S9" s="7"/>
      <c r="T9" s="7"/>
    </row>
    <row r="10">
      <c r="A10" s="7" t="s">
        <v>33</v>
      </c>
      <c r="B10" s="7" t="s">
        <v>34</v>
      </c>
      <c r="C10" s="7" t="s">
        <v>114</v>
      </c>
      <c r="D10" s="7" t="s">
        <v>115</v>
      </c>
      <c r="E10" s="7" t="s">
        <v>116</v>
      </c>
      <c r="F10" s="7" t="s">
        <v>117</v>
      </c>
      <c r="G10" s="7" t="s">
        <v>118</v>
      </c>
      <c r="H10" s="7" t="s">
        <v>103</v>
      </c>
      <c r="I10" s="7"/>
      <c r="J10" s="7" t="s">
        <v>43</v>
      </c>
      <c r="K10" s="7" t="s">
        <v>72</v>
      </c>
      <c r="L10" s="7" t="s">
        <v>45</v>
      </c>
      <c r="M10" s="7" t="s">
        <v>119</v>
      </c>
      <c r="N10" s="7" t="s">
        <v>73</v>
      </c>
      <c r="O10" s="7">
        <v>4.0</v>
      </c>
      <c r="P10" s="7" t="s">
        <v>43</v>
      </c>
      <c r="Q10" s="7" t="s">
        <v>95</v>
      </c>
      <c r="R10" s="7" t="s">
        <v>120</v>
      </c>
      <c r="S10" s="7" t="s">
        <v>97</v>
      </c>
      <c r="T10" s="7"/>
    </row>
    <row r="11">
      <c r="A11" s="7" t="s">
        <v>33</v>
      </c>
      <c r="B11" s="7" t="s">
        <v>34</v>
      </c>
      <c r="C11" s="7" t="s">
        <v>121</v>
      </c>
      <c r="D11" s="7" t="s">
        <v>122</v>
      </c>
      <c r="E11" s="7" t="s">
        <v>123</v>
      </c>
      <c r="F11" s="7" t="s">
        <v>124</v>
      </c>
      <c r="G11" s="7" t="s">
        <v>125</v>
      </c>
      <c r="H11" s="7" t="s">
        <v>126</v>
      </c>
      <c r="I11" s="7"/>
      <c r="J11" s="7" t="s">
        <v>113</v>
      </c>
      <c r="K11" s="7" t="s">
        <v>72</v>
      </c>
      <c r="L11" s="7" t="s">
        <v>45</v>
      </c>
      <c r="M11" s="7" t="s">
        <v>127</v>
      </c>
      <c r="N11" s="7" t="s">
        <v>73</v>
      </c>
      <c r="O11" s="7">
        <v>1.0</v>
      </c>
      <c r="P11" s="7" t="s">
        <v>113</v>
      </c>
      <c r="Q11" s="7" t="s">
        <v>48</v>
      </c>
      <c r="R11" s="7"/>
      <c r="S11" s="7"/>
      <c r="T11" s="7"/>
    </row>
    <row r="12">
      <c r="A12" s="7" t="s">
        <v>33</v>
      </c>
      <c r="B12" s="7" t="s">
        <v>34</v>
      </c>
      <c r="C12" s="7" t="s">
        <v>128</v>
      </c>
      <c r="D12" s="7" t="s">
        <v>129</v>
      </c>
      <c r="E12" s="7" t="s">
        <v>130</v>
      </c>
      <c r="F12" s="7" t="s">
        <v>131</v>
      </c>
      <c r="G12" s="7" t="s">
        <v>132</v>
      </c>
      <c r="H12" s="7" t="s">
        <v>126</v>
      </c>
      <c r="I12" s="7"/>
      <c r="J12" s="7" t="s">
        <v>113</v>
      </c>
      <c r="K12" s="7" t="s">
        <v>72</v>
      </c>
      <c r="L12" s="7" t="s">
        <v>45</v>
      </c>
      <c r="M12" s="7" t="s">
        <v>133</v>
      </c>
      <c r="N12" s="7" t="s">
        <v>73</v>
      </c>
      <c r="O12" s="7">
        <v>1.0</v>
      </c>
      <c r="P12" s="7" t="s">
        <v>113</v>
      </c>
      <c r="Q12" s="7" t="s">
        <v>48</v>
      </c>
      <c r="R12" s="7"/>
      <c r="S12" s="7"/>
      <c r="T12" s="7"/>
    </row>
    <row r="13">
      <c r="A13" s="7" t="s">
        <v>33</v>
      </c>
      <c r="B13" s="7" t="s">
        <v>34</v>
      </c>
      <c r="C13" s="7" t="s">
        <v>134</v>
      </c>
      <c r="D13" s="7" t="s">
        <v>135</v>
      </c>
      <c r="E13" s="7" t="s">
        <v>136</v>
      </c>
      <c r="F13" s="7" t="s">
        <v>137</v>
      </c>
      <c r="G13" s="7" t="s">
        <v>138</v>
      </c>
      <c r="H13" s="7" t="s">
        <v>126</v>
      </c>
      <c r="I13" s="7"/>
      <c r="J13" s="7" t="s">
        <v>113</v>
      </c>
      <c r="K13" s="7" t="s">
        <v>72</v>
      </c>
      <c r="L13" s="7" t="s">
        <v>45</v>
      </c>
      <c r="M13" s="7" t="s">
        <v>64</v>
      </c>
      <c r="N13" s="7" t="s">
        <v>73</v>
      </c>
      <c r="O13" s="7">
        <v>2.0</v>
      </c>
      <c r="P13" s="7" t="s">
        <v>43</v>
      </c>
      <c r="Q13" s="7" t="s">
        <v>95</v>
      </c>
      <c r="R13" s="7" t="s">
        <v>139</v>
      </c>
      <c r="S13" s="7" t="s">
        <v>140</v>
      </c>
      <c r="T13" s="7" t="s">
        <v>141</v>
      </c>
    </row>
    <row r="14">
      <c r="A14" s="7" t="s">
        <v>33</v>
      </c>
      <c r="B14" s="7" t="s">
        <v>34</v>
      </c>
      <c r="C14" s="7" t="s">
        <v>142</v>
      </c>
      <c r="D14" s="7" t="s">
        <v>143</v>
      </c>
      <c r="E14" s="7" t="s">
        <v>144</v>
      </c>
      <c r="F14" s="7" t="s">
        <v>145</v>
      </c>
      <c r="G14" s="7" t="s">
        <v>146</v>
      </c>
      <c r="H14" s="7" t="s">
        <v>126</v>
      </c>
      <c r="I14" s="7"/>
      <c r="J14" s="7" t="s">
        <v>113</v>
      </c>
      <c r="K14" s="7" t="s">
        <v>72</v>
      </c>
      <c r="L14" s="7" t="s">
        <v>45</v>
      </c>
      <c r="M14" s="7" t="s">
        <v>71</v>
      </c>
      <c r="N14" s="7" t="s">
        <v>73</v>
      </c>
      <c r="O14" s="7">
        <v>2.0</v>
      </c>
      <c r="P14" s="7" t="s">
        <v>43</v>
      </c>
      <c r="Q14" s="7" t="s">
        <v>95</v>
      </c>
      <c r="R14" s="7" t="s">
        <v>147</v>
      </c>
      <c r="S14" s="7" t="s">
        <v>140</v>
      </c>
      <c r="T14" s="7" t="s">
        <v>148</v>
      </c>
    </row>
    <row r="15">
      <c r="A15" s="7" t="s">
        <v>33</v>
      </c>
      <c r="B15" s="7" t="s">
        <v>34</v>
      </c>
      <c r="C15" s="7" t="s">
        <v>149</v>
      </c>
      <c r="D15" s="7" t="s">
        <v>150</v>
      </c>
      <c r="E15" s="7" t="s">
        <v>151</v>
      </c>
      <c r="F15" s="7" t="s">
        <v>152</v>
      </c>
      <c r="G15" s="7" t="s">
        <v>153</v>
      </c>
      <c r="H15" s="7" t="s">
        <v>154</v>
      </c>
      <c r="I15" s="7"/>
      <c r="J15" s="7" t="s">
        <v>43</v>
      </c>
      <c r="K15" s="7" t="s">
        <v>44</v>
      </c>
      <c r="L15" s="7" t="s">
        <v>45</v>
      </c>
      <c r="M15" s="7" t="s">
        <v>155</v>
      </c>
      <c r="N15" s="7" t="s">
        <v>47</v>
      </c>
      <c r="O15" s="7">
        <v>3.0</v>
      </c>
      <c r="P15" s="7" t="s">
        <v>43</v>
      </c>
      <c r="Q15" s="7" t="s">
        <v>48</v>
      </c>
      <c r="R15" s="7"/>
      <c r="S15" s="7"/>
      <c r="T15" s="7"/>
    </row>
    <row r="16">
      <c r="A16" s="7" t="s">
        <v>33</v>
      </c>
      <c r="B16" s="7" t="s">
        <v>34</v>
      </c>
      <c r="C16" s="7" t="s">
        <v>156</v>
      </c>
      <c r="D16" s="7" t="s">
        <v>157</v>
      </c>
      <c r="E16" s="7" t="s">
        <v>158</v>
      </c>
      <c r="F16" s="7" t="s">
        <v>159</v>
      </c>
      <c r="G16" s="7" t="s">
        <v>160</v>
      </c>
      <c r="H16" s="7" t="s">
        <v>154</v>
      </c>
      <c r="I16" s="7" t="s">
        <v>67</v>
      </c>
      <c r="J16" s="7" t="s">
        <v>43</v>
      </c>
      <c r="K16" s="7" t="s">
        <v>72</v>
      </c>
      <c r="L16" s="7" t="s">
        <v>45</v>
      </c>
      <c r="M16" s="7" t="s">
        <v>155</v>
      </c>
      <c r="N16" s="7" t="s">
        <v>73</v>
      </c>
      <c r="O16" s="7">
        <v>3.0</v>
      </c>
      <c r="P16" s="7" t="s">
        <v>43</v>
      </c>
      <c r="Q16" s="7" t="s">
        <v>48</v>
      </c>
      <c r="R16" s="7"/>
      <c r="S16" s="7"/>
      <c r="T16" s="7"/>
    </row>
    <row r="17">
      <c r="A17" s="7" t="s">
        <v>33</v>
      </c>
      <c r="B17" s="7" t="s">
        <v>34</v>
      </c>
      <c r="C17" s="7" t="s">
        <v>161</v>
      </c>
      <c r="D17" s="7" t="s">
        <v>162</v>
      </c>
      <c r="E17" s="7" t="s">
        <v>163</v>
      </c>
      <c r="F17" s="7" t="s">
        <v>164</v>
      </c>
      <c r="G17" s="7" t="s">
        <v>165</v>
      </c>
      <c r="H17" s="7" t="s">
        <v>166</v>
      </c>
      <c r="I17" s="7"/>
      <c r="J17" s="7" t="s">
        <v>43</v>
      </c>
      <c r="K17" s="7" t="s">
        <v>72</v>
      </c>
      <c r="L17" s="7" t="s">
        <v>45</v>
      </c>
      <c r="M17" s="7" t="s">
        <v>155</v>
      </c>
      <c r="N17" s="7" t="s">
        <v>73</v>
      </c>
      <c r="O17" s="7">
        <v>3.0</v>
      </c>
      <c r="P17" s="7" t="s">
        <v>43</v>
      </c>
      <c r="Q17" s="7" t="s">
        <v>48</v>
      </c>
      <c r="R17" s="7"/>
      <c r="S17" s="7"/>
      <c r="T17" s="7"/>
    </row>
    <row r="18">
      <c r="A18" s="7" t="s">
        <v>33</v>
      </c>
      <c r="B18" s="7" t="s">
        <v>34</v>
      </c>
      <c r="C18" s="7" t="s">
        <v>167</v>
      </c>
      <c r="D18" s="7" t="s">
        <v>168</v>
      </c>
      <c r="E18" s="7" t="s">
        <v>169</v>
      </c>
      <c r="F18" s="7" t="s">
        <v>170</v>
      </c>
      <c r="G18" s="7" t="s">
        <v>171</v>
      </c>
      <c r="H18" s="7" t="s">
        <v>172</v>
      </c>
      <c r="I18" s="7"/>
      <c r="J18" s="7" t="s">
        <v>113</v>
      </c>
      <c r="K18" s="7" t="s">
        <v>72</v>
      </c>
      <c r="L18" s="7" t="s">
        <v>45</v>
      </c>
      <c r="M18" s="7" t="s">
        <v>173</v>
      </c>
      <c r="N18" s="7" t="s">
        <v>73</v>
      </c>
      <c r="O18" s="7">
        <v>2.0</v>
      </c>
      <c r="P18" s="7" t="s">
        <v>43</v>
      </c>
      <c r="Q18" s="7" t="s">
        <v>48</v>
      </c>
      <c r="R18" s="7"/>
      <c r="S18" s="7"/>
      <c r="T18" s="7"/>
    </row>
    <row r="19">
      <c r="A19" s="7" t="s">
        <v>33</v>
      </c>
      <c r="B19" s="7" t="s">
        <v>34</v>
      </c>
      <c r="C19" s="7" t="s">
        <v>174</v>
      </c>
      <c r="D19" s="7" t="s">
        <v>168</v>
      </c>
      <c r="E19" s="7" t="s">
        <v>175</v>
      </c>
      <c r="F19" s="7" t="s">
        <v>176</v>
      </c>
      <c r="G19" s="7" t="s">
        <v>177</v>
      </c>
      <c r="H19" s="7" t="s">
        <v>178</v>
      </c>
      <c r="I19" s="7"/>
      <c r="J19" s="7" t="s">
        <v>179</v>
      </c>
      <c r="K19" s="7" t="s">
        <v>44</v>
      </c>
      <c r="L19" s="7" t="s">
        <v>45</v>
      </c>
      <c r="M19" s="7" t="s">
        <v>173</v>
      </c>
      <c r="N19" s="7" t="s">
        <v>47</v>
      </c>
      <c r="O19" s="7">
        <v>2.0</v>
      </c>
      <c r="P19" s="7" t="s">
        <v>43</v>
      </c>
      <c r="Q19" s="7" t="s">
        <v>48</v>
      </c>
      <c r="R19" s="7"/>
      <c r="S19" s="7"/>
      <c r="T19" s="7"/>
    </row>
    <row r="20" ht="15.75" customHeight="1">
      <c r="A20" s="7" t="s">
        <v>33</v>
      </c>
      <c r="B20" s="7" t="s">
        <v>34</v>
      </c>
      <c r="C20" s="7" t="s">
        <v>180</v>
      </c>
      <c r="D20" s="7" t="s">
        <v>181</v>
      </c>
      <c r="E20" s="7" t="s">
        <v>182</v>
      </c>
      <c r="F20" s="7" t="s">
        <v>183</v>
      </c>
      <c r="G20" s="7"/>
      <c r="H20" s="7" t="s">
        <v>184</v>
      </c>
      <c r="I20" s="7"/>
      <c r="J20" s="7" t="s">
        <v>179</v>
      </c>
      <c r="K20" s="7"/>
      <c r="L20" s="7"/>
      <c r="M20" s="7"/>
      <c r="N20" s="7" t="s">
        <v>185</v>
      </c>
      <c r="O20" s="7">
        <v>0.0</v>
      </c>
      <c r="P20" s="7" t="s">
        <v>113</v>
      </c>
      <c r="Q20" s="7" t="s">
        <v>48</v>
      </c>
      <c r="R20" s="7"/>
      <c r="S20" s="7"/>
      <c r="T20" s="7"/>
    </row>
    <row r="21" ht="15.75" customHeight="1">
      <c r="A21" s="7" t="s">
        <v>186</v>
      </c>
      <c r="B21" s="7" t="s">
        <v>187</v>
      </c>
      <c r="C21" s="7" t="s">
        <v>188</v>
      </c>
      <c r="D21" s="7" t="s">
        <v>37</v>
      </c>
      <c r="E21" s="7" t="s">
        <v>38</v>
      </c>
      <c r="F21" s="7" t="s">
        <v>189</v>
      </c>
      <c r="G21" s="7" t="s">
        <v>190</v>
      </c>
      <c r="H21" s="7" t="s">
        <v>191</v>
      </c>
      <c r="I21" s="7" t="s">
        <v>192</v>
      </c>
      <c r="J21" s="7" t="s">
        <v>43</v>
      </c>
      <c r="K21" s="7" t="s">
        <v>72</v>
      </c>
      <c r="L21" s="7" t="s">
        <v>45</v>
      </c>
      <c r="M21" s="7" t="s">
        <v>193</v>
      </c>
      <c r="N21" s="7" t="s">
        <v>73</v>
      </c>
      <c r="O21" s="7">
        <v>3.0</v>
      </c>
      <c r="P21" s="7" t="s">
        <v>43</v>
      </c>
      <c r="Q21" s="7" t="s">
        <v>48</v>
      </c>
      <c r="R21" s="7"/>
      <c r="S21" s="7"/>
      <c r="T21" s="7"/>
    </row>
    <row r="22" ht="15.75" customHeight="1">
      <c r="A22" s="7" t="s">
        <v>186</v>
      </c>
      <c r="B22" s="7" t="s">
        <v>187</v>
      </c>
      <c r="C22" s="7" t="s">
        <v>194</v>
      </c>
      <c r="D22" s="7" t="s">
        <v>37</v>
      </c>
      <c r="E22" s="7" t="s">
        <v>57</v>
      </c>
      <c r="F22" s="7" t="s">
        <v>195</v>
      </c>
      <c r="G22" s="7" t="s">
        <v>196</v>
      </c>
      <c r="H22" s="7" t="s">
        <v>191</v>
      </c>
      <c r="I22" s="7" t="s">
        <v>67</v>
      </c>
      <c r="J22" s="7" t="s">
        <v>43</v>
      </c>
      <c r="K22" s="7" t="s">
        <v>72</v>
      </c>
      <c r="L22" s="7" t="s">
        <v>45</v>
      </c>
      <c r="M22" s="7" t="s">
        <v>193</v>
      </c>
      <c r="N22" s="7" t="s">
        <v>73</v>
      </c>
      <c r="O22" s="7">
        <v>3.0</v>
      </c>
      <c r="P22" s="7" t="s">
        <v>43</v>
      </c>
      <c r="Q22" s="7" t="s">
        <v>48</v>
      </c>
      <c r="R22" s="7"/>
      <c r="S22" s="7"/>
      <c r="T22" s="7"/>
    </row>
    <row r="23" ht="15.75" customHeight="1">
      <c r="A23" s="7" t="s">
        <v>186</v>
      </c>
      <c r="B23" s="7" t="s">
        <v>187</v>
      </c>
      <c r="C23" s="7" t="s">
        <v>197</v>
      </c>
      <c r="D23" s="7" t="s">
        <v>37</v>
      </c>
      <c r="E23" s="7" t="s">
        <v>198</v>
      </c>
      <c r="F23" s="7" t="s">
        <v>199</v>
      </c>
      <c r="G23" s="7" t="s">
        <v>193</v>
      </c>
      <c r="H23" s="7" t="s">
        <v>200</v>
      </c>
      <c r="I23" s="7" t="s">
        <v>201</v>
      </c>
      <c r="J23" s="7" t="s">
        <v>43</v>
      </c>
      <c r="K23" s="7" t="s">
        <v>72</v>
      </c>
      <c r="L23" s="7" t="s">
        <v>202</v>
      </c>
      <c r="M23" s="7" t="s">
        <v>193</v>
      </c>
      <c r="N23" s="7" t="s">
        <v>73</v>
      </c>
      <c r="O23" s="7">
        <v>3.0</v>
      </c>
      <c r="P23" s="7" t="s">
        <v>43</v>
      </c>
      <c r="Q23" s="7" t="s">
        <v>48</v>
      </c>
      <c r="R23" s="7"/>
      <c r="S23" s="7"/>
      <c r="T23" s="7"/>
    </row>
    <row r="24" ht="15.75" customHeight="1">
      <c r="A24" s="7" t="s">
        <v>186</v>
      </c>
      <c r="B24" s="7" t="s">
        <v>187</v>
      </c>
      <c r="C24" s="7" t="s">
        <v>203</v>
      </c>
      <c r="D24" s="7" t="s">
        <v>37</v>
      </c>
      <c r="E24" s="7" t="s">
        <v>204</v>
      </c>
      <c r="F24" s="7" t="s">
        <v>205</v>
      </c>
      <c r="G24" s="7" t="s">
        <v>102</v>
      </c>
      <c r="H24" s="7" t="s">
        <v>206</v>
      </c>
      <c r="I24" s="7" t="s">
        <v>207</v>
      </c>
      <c r="J24" s="7" t="s">
        <v>43</v>
      </c>
      <c r="K24" s="7" t="s">
        <v>72</v>
      </c>
      <c r="L24" s="7" t="s">
        <v>45</v>
      </c>
      <c r="M24" s="7" t="s">
        <v>94</v>
      </c>
      <c r="N24" s="7" t="s">
        <v>73</v>
      </c>
      <c r="O24" s="7">
        <v>5.0</v>
      </c>
      <c r="P24" s="7" t="s">
        <v>43</v>
      </c>
      <c r="Q24" s="7" t="s">
        <v>95</v>
      </c>
      <c r="R24" s="7" t="s">
        <v>208</v>
      </c>
      <c r="S24" s="7" t="s">
        <v>209</v>
      </c>
      <c r="T24" s="7"/>
    </row>
    <row r="25" ht="15.75" customHeight="1">
      <c r="A25" s="7" t="s">
        <v>186</v>
      </c>
      <c r="B25" s="7" t="s">
        <v>187</v>
      </c>
      <c r="C25" s="7" t="s">
        <v>210</v>
      </c>
      <c r="D25" s="7" t="s">
        <v>37</v>
      </c>
      <c r="E25" s="7" t="s">
        <v>211</v>
      </c>
      <c r="F25" s="7" t="s">
        <v>212</v>
      </c>
      <c r="G25" s="7" t="s">
        <v>91</v>
      </c>
      <c r="H25" s="7" t="s">
        <v>206</v>
      </c>
      <c r="I25" s="7" t="s">
        <v>93</v>
      </c>
      <c r="J25" s="7" t="s">
        <v>43</v>
      </c>
      <c r="K25" s="7" t="s">
        <v>44</v>
      </c>
      <c r="L25" s="7" t="s">
        <v>45</v>
      </c>
      <c r="M25" s="7" t="s">
        <v>94</v>
      </c>
      <c r="N25" s="7" t="s">
        <v>47</v>
      </c>
      <c r="O25" s="7">
        <v>5.0</v>
      </c>
      <c r="P25" s="7" t="s">
        <v>43</v>
      </c>
      <c r="Q25" s="7" t="s">
        <v>95</v>
      </c>
      <c r="R25" s="7" t="s">
        <v>208</v>
      </c>
      <c r="S25" s="7" t="s">
        <v>209</v>
      </c>
      <c r="T25" s="7"/>
    </row>
    <row r="26" ht="15.75" customHeight="1">
      <c r="A26" s="7" t="s">
        <v>186</v>
      </c>
      <c r="B26" s="7" t="s">
        <v>187</v>
      </c>
      <c r="C26" s="7" t="s">
        <v>213</v>
      </c>
      <c r="D26" s="7" t="s">
        <v>37</v>
      </c>
      <c r="E26" s="7" t="s">
        <v>106</v>
      </c>
      <c r="F26" s="7" t="s">
        <v>214</v>
      </c>
      <c r="G26" s="7" t="s">
        <v>215</v>
      </c>
      <c r="H26" s="7" t="s">
        <v>206</v>
      </c>
      <c r="I26" s="7" t="s">
        <v>216</v>
      </c>
      <c r="J26" s="7" t="s">
        <v>43</v>
      </c>
      <c r="K26" s="7" t="s">
        <v>44</v>
      </c>
      <c r="L26" s="7" t="s">
        <v>45</v>
      </c>
      <c r="M26" s="7" t="s">
        <v>94</v>
      </c>
      <c r="N26" s="7" t="s">
        <v>47</v>
      </c>
      <c r="O26" s="7">
        <v>5.0</v>
      </c>
      <c r="P26" s="7" t="s">
        <v>43</v>
      </c>
      <c r="Q26" s="7" t="s">
        <v>95</v>
      </c>
      <c r="R26" s="7" t="s">
        <v>208</v>
      </c>
      <c r="S26" s="7" t="s">
        <v>209</v>
      </c>
      <c r="T26" s="7"/>
    </row>
    <row r="27" ht="15.75" customHeight="1">
      <c r="A27" s="7" t="s">
        <v>186</v>
      </c>
      <c r="B27" s="7" t="s">
        <v>187</v>
      </c>
      <c r="C27" s="7" t="s">
        <v>217</v>
      </c>
      <c r="D27" s="7" t="s">
        <v>37</v>
      </c>
      <c r="E27" s="7" t="s">
        <v>218</v>
      </c>
      <c r="F27" s="7" t="s">
        <v>219</v>
      </c>
      <c r="G27" s="7" t="s">
        <v>118</v>
      </c>
      <c r="H27" s="7" t="s">
        <v>220</v>
      </c>
      <c r="I27" s="7" t="s">
        <v>221</v>
      </c>
      <c r="J27" s="7" t="s">
        <v>43</v>
      </c>
      <c r="K27" s="7" t="s">
        <v>72</v>
      </c>
      <c r="L27" s="7" t="s">
        <v>45</v>
      </c>
      <c r="M27" s="7" t="s">
        <v>119</v>
      </c>
      <c r="N27" s="7" t="s">
        <v>73</v>
      </c>
      <c r="O27" s="7">
        <v>4.0</v>
      </c>
      <c r="P27" s="7" t="s">
        <v>43</v>
      </c>
      <c r="Q27" s="7" t="s">
        <v>95</v>
      </c>
      <c r="R27" s="7" t="s">
        <v>222</v>
      </c>
      <c r="S27" s="7" t="s">
        <v>209</v>
      </c>
      <c r="T27" s="7"/>
    </row>
    <row r="28" ht="15.75" customHeight="1">
      <c r="A28" s="7" t="s">
        <v>186</v>
      </c>
      <c r="B28" s="7" t="s">
        <v>187</v>
      </c>
      <c r="C28" s="7" t="s">
        <v>223</v>
      </c>
      <c r="D28" s="7" t="s">
        <v>37</v>
      </c>
      <c r="E28" s="7" t="s">
        <v>224</v>
      </c>
      <c r="F28" s="7" t="s">
        <v>225</v>
      </c>
      <c r="G28" s="7" t="s">
        <v>226</v>
      </c>
      <c r="H28" s="7" t="s">
        <v>227</v>
      </c>
      <c r="I28" s="7" t="s">
        <v>228</v>
      </c>
      <c r="J28" s="7" t="s">
        <v>43</v>
      </c>
      <c r="K28" s="7" t="s">
        <v>72</v>
      </c>
      <c r="L28" s="7" t="s">
        <v>45</v>
      </c>
      <c r="M28" s="7" t="s">
        <v>119</v>
      </c>
      <c r="N28" s="7" t="s">
        <v>73</v>
      </c>
      <c r="O28" s="7">
        <v>4.0</v>
      </c>
      <c r="P28" s="7" t="s">
        <v>43</v>
      </c>
      <c r="Q28" s="7" t="s">
        <v>95</v>
      </c>
      <c r="R28" s="7" t="s">
        <v>222</v>
      </c>
      <c r="S28" s="7" t="s">
        <v>209</v>
      </c>
      <c r="T28" s="7"/>
    </row>
    <row r="29" ht="15.75" customHeight="1">
      <c r="A29" s="7" t="s">
        <v>186</v>
      </c>
      <c r="B29" s="7" t="s">
        <v>187</v>
      </c>
      <c r="C29" s="7" t="s">
        <v>229</v>
      </c>
      <c r="D29" s="7" t="s">
        <v>37</v>
      </c>
      <c r="E29" s="7" t="s">
        <v>163</v>
      </c>
      <c r="F29" s="7" t="s">
        <v>230</v>
      </c>
      <c r="G29" s="7" t="s">
        <v>119</v>
      </c>
      <c r="H29" s="7" t="s">
        <v>231</v>
      </c>
      <c r="I29" s="7" t="s">
        <v>232</v>
      </c>
      <c r="J29" s="7" t="s">
        <v>43</v>
      </c>
      <c r="K29" s="7" t="s">
        <v>72</v>
      </c>
      <c r="L29" s="7" t="s">
        <v>202</v>
      </c>
      <c r="M29" s="7" t="s">
        <v>119</v>
      </c>
      <c r="N29" s="7" t="s">
        <v>73</v>
      </c>
      <c r="O29" s="7">
        <v>4.0</v>
      </c>
      <c r="P29" s="7" t="s">
        <v>43</v>
      </c>
      <c r="Q29" s="7" t="s">
        <v>95</v>
      </c>
      <c r="R29" s="7" t="s">
        <v>222</v>
      </c>
      <c r="S29" s="7" t="s">
        <v>209</v>
      </c>
      <c r="T29" s="7"/>
    </row>
    <row r="30" ht="15.75" customHeight="1">
      <c r="A30" s="7" t="s">
        <v>186</v>
      </c>
      <c r="B30" s="7" t="s">
        <v>187</v>
      </c>
      <c r="C30" s="7" t="s">
        <v>233</v>
      </c>
      <c r="D30" s="7" t="s">
        <v>37</v>
      </c>
      <c r="E30" s="7" t="s">
        <v>151</v>
      </c>
      <c r="F30" s="7" t="s">
        <v>234</v>
      </c>
      <c r="G30" s="7" t="s">
        <v>235</v>
      </c>
      <c r="H30" s="7" t="s">
        <v>236</v>
      </c>
      <c r="I30" s="7" t="s">
        <v>237</v>
      </c>
      <c r="J30" s="7" t="s">
        <v>43</v>
      </c>
      <c r="K30" s="7" t="s">
        <v>44</v>
      </c>
      <c r="L30" s="7" t="s">
        <v>45</v>
      </c>
      <c r="M30" s="7" t="s">
        <v>238</v>
      </c>
      <c r="N30" s="7" t="s">
        <v>239</v>
      </c>
      <c r="O30" s="7">
        <v>3.0</v>
      </c>
      <c r="P30" s="7" t="s">
        <v>43</v>
      </c>
      <c r="Q30" s="7" t="s">
        <v>48</v>
      </c>
      <c r="R30" s="7"/>
      <c r="S30" s="7"/>
      <c r="T30" s="7"/>
    </row>
    <row r="31" ht="15.75" customHeight="1">
      <c r="A31" s="7" t="s">
        <v>186</v>
      </c>
      <c r="B31" s="7" t="s">
        <v>187</v>
      </c>
      <c r="C31" s="7" t="s">
        <v>240</v>
      </c>
      <c r="D31" s="7" t="s">
        <v>37</v>
      </c>
      <c r="E31" s="7" t="s">
        <v>241</v>
      </c>
      <c r="F31" s="7" t="s">
        <v>242</v>
      </c>
      <c r="G31" s="7" t="s">
        <v>243</v>
      </c>
      <c r="H31" s="7" t="s">
        <v>236</v>
      </c>
      <c r="I31" s="7" t="s">
        <v>244</v>
      </c>
      <c r="J31" s="7" t="s">
        <v>43</v>
      </c>
      <c r="K31" s="7" t="s">
        <v>44</v>
      </c>
      <c r="L31" s="7" t="s">
        <v>45</v>
      </c>
      <c r="M31" s="7" t="s">
        <v>238</v>
      </c>
      <c r="N31" s="7" t="s">
        <v>239</v>
      </c>
      <c r="O31" s="7">
        <v>3.0</v>
      </c>
      <c r="P31" s="7" t="s">
        <v>43</v>
      </c>
      <c r="Q31" s="7" t="s">
        <v>48</v>
      </c>
      <c r="R31" s="7"/>
      <c r="S31" s="7"/>
      <c r="T31" s="7"/>
    </row>
    <row r="32" ht="15.75" customHeight="1">
      <c r="A32" s="7" t="s">
        <v>186</v>
      </c>
      <c r="B32" s="7" t="s">
        <v>187</v>
      </c>
      <c r="C32" s="7" t="s">
        <v>245</v>
      </c>
      <c r="D32" s="7" t="s">
        <v>37</v>
      </c>
      <c r="E32" s="7" t="s">
        <v>246</v>
      </c>
      <c r="F32" s="7" t="s">
        <v>247</v>
      </c>
      <c r="G32" s="7" t="s">
        <v>248</v>
      </c>
      <c r="H32" s="7" t="s">
        <v>236</v>
      </c>
      <c r="I32" s="7" t="s">
        <v>249</v>
      </c>
      <c r="J32" s="7" t="s">
        <v>43</v>
      </c>
      <c r="K32" s="7" t="s">
        <v>44</v>
      </c>
      <c r="L32" s="7" t="s">
        <v>45</v>
      </c>
      <c r="M32" s="7" t="s">
        <v>238</v>
      </c>
      <c r="N32" s="7" t="s">
        <v>239</v>
      </c>
      <c r="O32" s="7">
        <v>3.0</v>
      </c>
      <c r="P32" s="7" t="s">
        <v>43</v>
      </c>
      <c r="Q32" s="7" t="s">
        <v>48</v>
      </c>
      <c r="R32" s="7"/>
      <c r="S32" s="7"/>
      <c r="T32" s="7"/>
    </row>
    <row r="33" ht="15.75" customHeight="1">
      <c r="A33" s="7" t="s">
        <v>186</v>
      </c>
      <c r="B33" s="7" t="s">
        <v>187</v>
      </c>
      <c r="C33" s="7" t="s">
        <v>250</v>
      </c>
      <c r="D33" s="7" t="s">
        <v>251</v>
      </c>
      <c r="E33" s="7" t="s">
        <v>38</v>
      </c>
      <c r="F33" s="7" t="s">
        <v>252</v>
      </c>
      <c r="G33" s="7" t="s">
        <v>253</v>
      </c>
      <c r="H33" s="7" t="s">
        <v>254</v>
      </c>
      <c r="I33" s="7" t="s">
        <v>255</v>
      </c>
      <c r="J33" s="7" t="s">
        <v>43</v>
      </c>
      <c r="K33" s="7" t="s">
        <v>72</v>
      </c>
      <c r="L33" s="7" t="s">
        <v>45</v>
      </c>
      <c r="M33" s="7" t="s">
        <v>256</v>
      </c>
      <c r="N33" s="7" t="s">
        <v>73</v>
      </c>
      <c r="O33" s="7">
        <v>3.0</v>
      </c>
      <c r="P33" s="7" t="s">
        <v>43</v>
      </c>
      <c r="Q33" s="7" t="s">
        <v>48</v>
      </c>
      <c r="R33" s="7"/>
      <c r="S33" s="7"/>
      <c r="T33" s="7"/>
    </row>
    <row r="34" ht="15.75" customHeight="1">
      <c r="A34" s="7" t="s">
        <v>186</v>
      </c>
      <c r="B34" s="7" t="s">
        <v>187</v>
      </c>
      <c r="C34" s="7" t="s">
        <v>257</v>
      </c>
      <c r="D34" s="7" t="s">
        <v>251</v>
      </c>
      <c r="E34" s="7" t="s">
        <v>57</v>
      </c>
      <c r="F34" s="7" t="s">
        <v>258</v>
      </c>
      <c r="G34" s="7" t="s">
        <v>259</v>
      </c>
      <c r="H34" s="7" t="s">
        <v>254</v>
      </c>
      <c r="I34" s="7" t="s">
        <v>260</v>
      </c>
      <c r="J34" s="7" t="s">
        <v>43</v>
      </c>
      <c r="K34" s="7" t="s">
        <v>72</v>
      </c>
      <c r="L34" s="7" t="s">
        <v>45</v>
      </c>
      <c r="M34" s="7" t="s">
        <v>256</v>
      </c>
      <c r="N34" s="7" t="s">
        <v>73</v>
      </c>
      <c r="O34" s="7">
        <v>3.0</v>
      </c>
      <c r="P34" s="7" t="s">
        <v>43</v>
      </c>
      <c r="Q34" s="7" t="s">
        <v>48</v>
      </c>
      <c r="R34" s="7"/>
      <c r="S34" s="7"/>
      <c r="T34" s="7"/>
    </row>
    <row r="35" ht="15.75" customHeight="1">
      <c r="A35" s="7" t="s">
        <v>186</v>
      </c>
      <c r="B35" s="7" t="s">
        <v>187</v>
      </c>
      <c r="C35" s="7" t="s">
        <v>261</v>
      </c>
      <c r="D35" s="7" t="s">
        <v>251</v>
      </c>
      <c r="E35" s="7" t="s">
        <v>198</v>
      </c>
      <c r="F35" s="7" t="s">
        <v>262</v>
      </c>
      <c r="G35" s="7" t="s">
        <v>263</v>
      </c>
      <c r="H35" s="7" t="s">
        <v>254</v>
      </c>
      <c r="I35" s="7" t="s">
        <v>264</v>
      </c>
      <c r="J35" s="7" t="s">
        <v>43</v>
      </c>
      <c r="K35" s="7" t="s">
        <v>72</v>
      </c>
      <c r="L35" s="7" t="s">
        <v>45</v>
      </c>
      <c r="M35" s="7" t="s">
        <v>256</v>
      </c>
      <c r="N35" s="7" t="s">
        <v>73</v>
      </c>
      <c r="O35" s="7">
        <v>3.0</v>
      </c>
      <c r="P35" s="7" t="s">
        <v>43</v>
      </c>
      <c r="Q35" s="7" t="s">
        <v>48</v>
      </c>
      <c r="R35" s="7"/>
      <c r="S35" s="7"/>
      <c r="T35" s="7"/>
    </row>
    <row r="36" ht="15.75" customHeight="1">
      <c r="A36" s="7" t="s">
        <v>186</v>
      </c>
      <c r="B36" s="7" t="s">
        <v>187</v>
      </c>
      <c r="C36" s="7" t="s">
        <v>265</v>
      </c>
      <c r="D36" s="7" t="s">
        <v>251</v>
      </c>
      <c r="E36" s="7" t="s">
        <v>204</v>
      </c>
      <c r="F36" s="7" t="s">
        <v>266</v>
      </c>
      <c r="G36" s="7"/>
      <c r="H36" s="7" t="s">
        <v>267</v>
      </c>
      <c r="I36" s="7" t="s">
        <v>268</v>
      </c>
      <c r="J36" s="7" t="s">
        <v>113</v>
      </c>
      <c r="K36" s="7"/>
      <c r="L36" s="7"/>
      <c r="M36" s="7"/>
      <c r="N36" s="7" t="s">
        <v>185</v>
      </c>
      <c r="O36" s="7">
        <v>0.0</v>
      </c>
      <c r="P36" s="7" t="s">
        <v>113</v>
      </c>
      <c r="Q36" s="7" t="s">
        <v>48</v>
      </c>
      <c r="R36" s="7"/>
      <c r="S36" s="7"/>
      <c r="T36" s="7"/>
    </row>
    <row r="37" ht="15.75" customHeight="1">
      <c r="A37" s="7" t="s">
        <v>186</v>
      </c>
      <c r="B37" s="7" t="s">
        <v>187</v>
      </c>
      <c r="C37" s="7" t="s">
        <v>269</v>
      </c>
      <c r="D37" s="7" t="s">
        <v>251</v>
      </c>
      <c r="E37" s="7" t="s">
        <v>211</v>
      </c>
      <c r="F37" s="7" t="s">
        <v>270</v>
      </c>
      <c r="G37" s="7"/>
      <c r="H37" s="7" t="s">
        <v>267</v>
      </c>
      <c r="I37" s="7" t="s">
        <v>271</v>
      </c>
      <c r="J37" s="7" t="s">
        <v>113</v>
      </c>
      <c r="K37" s="7"/>
      <c r="L37" s="7"/>
      <c r="M37" s="7"/>
      <c r="N37" s="7" t="s">
        <v>185</v>
      </c>
      <c r="O37" s="7">
        <v>0.0</v>
      </c>
      <c r="P37" s="7" t="s">
        <v>113</v>
      </c>
      <c r="Q37" s="7" t="s">
        <v>48</v>
      </c>
      <c r="R37" s="7"/>
      <c r="S37" s="7"/>
      <c r="T37" s="7"/>
    </row>
    <row r="38" ht="15.75" customHeight="1">
      <c r="A38" s="7" t="s">
        <v>186</v>
      </c>
      <c r="B38" s="7" t="s">
        <v>187</v>
      </c>
      <c r="C38" s="7" t="s">
        <v>272</v>
      </c>
      <c r="D38" s="7" t="s">
        <v>251</v>
      </c>
      <c r="E38" s="7" t="s">
        <v>106</v>
      </c>
      <c r="F38" s="7" t="s">
        <v>273</v>
      </c>
      <c r="G38" s="7" t="s">
        <v>274</v>
      </c>
      <c r="H38" s="7" t="s">
        <v>267</v>
      </c>
      <c r="I38" s="7" t="s">
        <v>275</v>
      </c>
      <c r="J38" s="7" t="s">
        <v>113</v>
      </c>
      <c r="K38" s="7"/>
      <c r="L38" s="7"/>
      <c r="M38" s="7"/>
      <c r="N38" s="7" t="s">
        <v>185</v>
      </c>
      <c r="O38" s="7">
        <v>0.0</v>
      </c>
      <c r="P38" s="7" t="s">
        <v>113</v>
      </c>
      <c r="Q38" s="7" t="s">
        <v>48</v>
      </c>
      <c r="R38" s="7"/>
      <c r="S38" s="7"/>
      <c r="T38" s="7"/>
    </row>
    <row r="39" ht="15.75" customHeight="1">
      <c r="A39" s="7" t="s">
        <v>186</v>
      </c>
      <c r="B39" s="7" t="s">
        <v>187</v>
      </c>
      <c r="C39" s="7" t="s">
        <v>276</v>
      </c>
      <c r="D39" s="7" t="s">
        <v>251</v>
      </c>
      <c r="E39" s="7" t="s">
        <v>218</v>
      </c>
      <c r="F39" s="7" t="s">
        <v>277</v>
      </c>
      <c r="G39" s="7" t="s">
        <v>278</v>
      </c>
      <c r="H39" s="7" t="s">
        <v>267</v>
      </c>
      <c r="I39" s="7" t="s">
        <v>279</v>
      </c>
      <c r="J39" s="7" t="s">
        <v>113</v>
      </c>
      <c r="K39" s="7"/>
      <c r="L39" s="7"/>
      <c r="M39" s="7"/>
      <c r="N39" s="7" t="s">
        <v>185</v>
      </c>
      <c r="O39" s="7">
        <v>0.0</v>
      </c>
      <c r="P39" s="7" t="s">
        <v>113</v>
      </c>
      <c r="Q39" s="7" t="s">
        <v>48</v>
      </c>
      <c r="R39" s="7"/>
      <c r="S39" s="7"/>
      <c r="T39" s="7"/>
    </row>
    <row r="40" ht="15.75" customHeight="1">
      <c r="A40" s="7" t="s">
        <v>186</v>
      </c>
      <c r="B40" s="7" t="s">
        <v>187</v>
      </c>
      <c r="C40" s="7" t="s">
        <v>280</v>
      </c>
      <c r="D40" s="7" t="s">
        <v>251</v>
      </c>
      <c r="E40" s="7" t="s">
        <v>224</v>
      </c>
      <c r="F40" s="7" t="s">
        <v>281</v>
      </c>
      <c r="G40" s="7" t="s">
        <v>282</v>
      </c>
      <c r="H40" s="7" t="s">
        <v>267</v>
      </c>
      <c r="I40" s="7" t="s">
        <v>283</v>
      </c>
      <c r="J40" s="7" t="s">
        <v>113</v>
      </c>
      <c r="K40" s="7"/>
      <c r="L40" s="7"/>
      <c r="M40" s="7"/>
      <c r="N40" s="7" t="s">
        <v>185</v>
      </c>
      <c r="O40" s="7">
        <v>0.0</v>
      </c>
      <c r="P40" s="7" t="s">
        <v>113</v>
      </c>
      <c r="Q40" s="7" t="s">
        <v>48</v>
      </c>
      <c r="R40" s="7"/>
      <c r="S40" s="7"/>
      <c r="T40" s="7"/>
    </row>
    <row r="41" ht="15.75" customHeight="1">
      <c r="A41" s="7" t="s">
        <v>186</v>
      </c>
      <c r="B41" s="7" t="s">
        <v>187</v>
      </c>
      <c r="C41" s="7" t="s">
        <v>284</v>
      </c>
      <c r="D41" s="7" t="s">
        <v>251</v>
      </c>
      <c r="E41" s="7" t="s">
        <v>163</v>
      </c>
      <c r="F41" s="7" t="s">
        <v>285</v>
      </c>
      <c r="G41" s="7" t="s">
        <v>286</v>
      </c>
      <c r="H41" s="7" t="s">
        <v>287</v>
      </c>
      <c r="I41" s="7" t="s">
        <v>288</v>
      </c>
      <c r="J41" s="7" t="s">
        <v>113</v>
      </c>
      <c r="K41" s="7" t="s">
        <v>72</v>
      </c>
      <c r="L41" s="7" t="s">
        <v>45</v>
      </c>
      <c r="M41" s="7" t="s">
        <v>289</v>
      </c>
      <c r="N41" s="7" t="s">
        <v>73</v>
      </c>
      <c r="O41" s="7">
        <v>1.0</v>
      </c>
      <c r="P41" s="7" t="s">
        <v>113</v>
      </c>
      <c r="Q41" s="7" t="s">
        <v>48</v>
      </c>
      <c r="R41" s="7"/>
      <c r="S41" s="7"/>
      <c r="T41" s="7"/>
    </row>
    <row r="42" ht="15.75" customHeight="1">
      <c r="A42" s="7" t="s">
        <v>186</v>
      </c>
      <c r="B42" s="7" t="s">
        <v>187</v>
      </c>
      <c r="C42" s="7" t="s">
        <v>290</v>
      </c>
      <c r="D42" s="7" t="s">
        <v>251</v>
      </c>
      <c r="E42" s="7" t="s">
        <v>151</v>
      </c>
      <c r="F42" s="7" t="s">
        <v>291</v>
      </c>
      <c r="G42" s="7" t="s">
        <v>292</v>
      </c>
      <c r="H42" s="7" t="s">
        <v>287</v>
      </c>
      <c r="I42" s="7" t="s">
        <v>288</v>
      </c>
      <c r="J42" s="7" t="s">
        <v>113</v>
      </c>
      <c r="K42" s="7" t="s">
        <v>72</v>
      </c>
      <c r="L42" s="7" t="s">
        <v>45</v>
      </c>
      <c r="M42" s="7" t="s">
        <v>293</v>
      </c>
      <c r="N42" s="7" t="s">
        <v>73</v>
      </c>
      <c r="O42" s="7">
        <v>1.0</v>
      </c>
      <c r="P42" s="7" t="s">
        <v>113</v>
      </c>
      <c r="Q42" s="7" t="s">
        <v>48</v>
      </c>
      <c r="R42" s="7"/>
      <c r="S42" s="7"/>
      <c r="T42" s="7"/>
    </row>
    <row r="43" ht="15.75" customHeight="1">
      <c r="A43" s="7" t="s">
        <v>186</v>
      </c>
      <c r="B43" s="7" t="s">
        <v>187</v>
      </c>
      <c r="C43" s="7" t="s">
        <v>294</v>
      </c>
      <c r="D43" s="7" t="s">
        <v>251</v>
      </c>
      <c r="E43" s="7" t="s">
        <v>241</v>
      </c>
      <c r="F43" s="7" t="s">
        <v>295</v>
      </c>
      <c r="G43" s="7" t="s">
        <v>296</v>
      </c>
      <c r="H43" s="7" t="s">
        <v>287</v>
      </c>
      <c r="I43" s="7" t="s">
        <v>297</v>
      </c>
      <c r="J43" s="7" t="s">
        <v>113</v>
      </c>
      <c r="K43" s="7" t="s">
        <v>72</v>
      </c>
      <c r="L43" s="7" t="s">
        <v>45</v>
      </c>
      <c r="M43" s="7" t="s">
        <v>298</v>
      </c>
      <c r="N43" s="7" t="s">
        <v>73</v>
      </c>
      <c r="O43" s="7">
        <v>1.0</v>
      </c>
      <c r="P43" s="7" t="s">
        <v>113</v>
      </c>
      <c r="Q43" s="7" t="s">
        <v>48</v>
      </c>
      <c r="R43" s="7"/>
      <c r="S43" s="7"/>
      <c r="T43" s="7"/>
    </row>
    <row r="44" ht="15.75" customHeight="1">
      <c r="A44" s="7" t="s">
        <v>186</v>
      </c>
      <c r="B44" s="7" t="s">
        <v>187</v>
      </c>
      <c r="C44" s="7" t="s">
        <v>299</v>
      </c>
      <c r="D44" s="7" t="s">
        <v>251</v>
      </c>
      <c r="E44" s="7" t="s">
        <v>246</v>
      </c>
      <c r="F44" s="7" t="s">
        <v>300</v>
      </c>
      <c r="G44" s="7" t="s">
        <v>301</v>
      </c>
      <c r="H44" s="7" t="s">
        <v>287</v>
      </c>
      <c r="I44" s="7" t="s">
        <v>302</v>
      </c>
      <c r="J44" s="7" t="s">
        <v>113</v>
      </c>
      <c r="K44" s="7" t="s">
        <v>72</v>
      </c>
      <c r="L44" s="7" t="s">
        <v>45</v>
      </c>
      <c r="M44" s="7" t="s">
        <v>303</v>
      </c>
      <c r="N44" s="7" t="s">
        <v>73</v>
      </c>
      <c r="O44" s="7">
        <v>1.0</v>
      </c>
      <c r="P44" s="7" t="s">
        <v>113</v>
      </c>
      <c r="Q44" s="7" t="s">
        <v>48</v>
      </c>
      <c r="R44" s="7"/>
      <c r="S44" s="7"/>
      <c r="T44" s="7"/>
    </row>
    <row r="45" ht="15.75" customHeight="1">
      <c r="A45" s="7" t="s">
        <v>186</v>
      </c>
      <c r="B45" s="7" t="s">
        <v>187</v>
      </c>
      <c r="C45" s="7" t="s">
        <v>304</v>
      </c>
      <c r="D45" s="7" t="s">
        <v>150</v>
      </c>
      <c r="E45" s="7" t="s">
        <v>38</v>
      </c>
      <c r="F45" s="7" t="s">
        <v>305</v>
      </c>
      <c r="G45" s="7" t="s">
        <v>138</v>
      </c>
      <c r="H45" s="7" t="s">
        <v>287</v>
      </c>
      <c r="I45" s="7" t="s">
        <v>61</v>
      </c>
      <c r="J45" s="7" t="s">
        <v>113</v>
      </c>
      <c r="K45" s="7" t="s">
        <v>72</v>
      </c>
      <c r="L45" s="7" t="s">
        <v>45</v>
      </c>
      <c r="M45" s="7" t="s">
        <v>64</v>
      </c>
      <c r="N45" s="7" t="s">
        <v>73</v>
      </c>
      <c r="O45" s="7">
        <v>2.0</v>
      </c>
      <c r="P45" s="7" t="s">
        <v>43</v>
      </c>
      <c r="Q45" s="7" t="s">
        <v>95</v>
      </c>
      <c r="R45" s="7" t="s">
        <v>306</v>
      </c>
      <c r="S45" s="7" t="s">
        <v>307</v>
      </c>
      <c r="T45" s="7" t="s">
        <v>308</v>
      </c>
    </row>
    <row r="46" ht="15.75" customHeight="1">
      <c r="A46" s="7" t="s">
        <v>186</v>
      </c>
      <c r="B46" s="7" t="s">
        <v>187</v>
      </c>
      <c r="C46" s="7" t="s">
        <v>309</v>
      </c>
      <c r="D46" s="7" t="s">
        <v>150</v>
      </c>
      <c r="E46" s="7" t="s">
        <v>57</v>
      </c>
      <c r="F46" s="7" t="s">
        <v>310</v>
      </c>
      <c r="G46" s="7" t="s">
        <v>311</v>
      </c>
      <c r="H46" s="7" t="s">
        <v>312</v>
      </c>
      <c r="I46" s="7" t="s">
        <v>313</v>
      </c>
      <c r="J46" s="7" t="s">
        <v>43</v>
      </c>
      <c r="K46" s="7" t="s">
        <v>72</v>
      </c>
      <c r="L46" s="7" t="s">
        <v>45</v>
      </c>
      <c r="M46" s="7" t="s">
        <v>314</v>
      </c>
      <c r="N46" s="7" t="s">
        <v>73</v>
      </c>
      <c r="O46" s="7">
        <v>2.0</v>
      </c>
      <c r="P46" s="7" t="s">
        <v>43</v>
      </c>
      <c r="Q46" s="7" t="s">
        <v>48</v>
      </c>
      <c r="R46" s="7"/>
      <c r="S46" s="7"/>
      <c r="T46" s="7"/>
    </row>
    <row r="47" ht="15.75" customHeight="1">
      <c r="A47" s="7" t="s">
        <v>186</v>
      </c>
      <c r="B47" s="7" t="s">
        <v>187</v>
      </c>
      <c r="C47" s="7" t="s">
        <v>315</v>
      </c>
      <c r="D47" s="7" t="s">
        <v>150</v>
      </c>
      <c r="E47" s="7" t="s">
        <v>198</v>
      </c>
      <c r="F47" s="7" t="s">
        <v>316</v>
      </c>
      <c r="G47" s="7" t="s">
        <v>317</v>
      </c>
      <c r="H47" s="7" t="s">
        <v>312</v>
      </c>
      <c r="I47" s="7" t="s">
        <v>318</v>
      </c>
      <c r="J47" s="7" t="s">
        <v>43</v>
      </c>
      <c r="K47" s="7" t="s">
        <v>72</v>
      </c>
      <c r="L47" s="7" t="s">
        <v>45</v>
      </c>
      <c r="M47" s="7" t="s">
        <v>314</v>
      </c>
      <c r="N47" s="7" t="s">
        <v>73</v>
      </c>
      <c r="O47" s="7">
        <v>2.0</v>
      </c>
      <c r="P47" s="7" t="s">
        <v>43</v>
      </c>
      <c r="Q47" s="7" t="s">
        <v>48</v>
      </c>
      <c r="R47" s="7"/>
      <c r="S47" s="7"/>
      <c r="T47" s="7"/>
    </row>
    <row r="48" ht="15.75" customHeight="1">
      <c r="A48" s="7" t="s">
        <v>186</v>
      </c>
      <c r="B48" s="7" t="s">
        <v>187</v>
      </c>
      <c r="C48" s="7" t="s">
        <v>319</v>
      </c>
      <c r="D48" s="7" t="s">
        <v>150</v>
      </c>
      <c r="E48" s="7" t="s">
        <v>204</v>
      </c>
      <c r="F48" s="7" t="s">
        <v>320</v>
      </c>
      <c r="G48" s="7" t="s">
        <v>321</v>
      </c>
      <c r="H48" s="7" t="s">
        <v>231</v>
      </c>
      <c r="I48" s="7" t="s">
        <v>322</v>
      </c>
      <c r="J48" s="7" t="s">
        <v>43</v>
      </c>
      <c r="K48" s="7" t="s">
        <v>72</v>
      </c>
      <c r="L48" s="7" t="s">
        <v>202</v>
      </c>
      <c r="M48" s="7" t="s">
        <v>321</v>
      </c>
      <c r="N48" s="7" t="s">
        <v>73</v>
      </c>
      <c r="O48" s="7">
        <v>2.0</v>
      </c>
      <c r="P48" s="7" t="s">
        <v>43</v>
      </c>
      <c r="Q48" s="7" t="s">
        <v>48</v>
      </c>
      <c r="R48" s="7"/>
      <c r="S48" s="7"/>
      <c r="T48" s="7"/>
    </row>
    <row r="49" ht="15.75" customHeight="1">
      <c r="A49" s="7" t="s">
        <v>186</v>
      </c>
      <c r="B49" s="7" t="s">
        <v>187</v>
      </c>
      <c r="C49" s="7" t="s">
        <v>323</v>
      </c>
      <c r="D49" s="7" t="s">
        <v>150</v>
      </c>
      <c r="E49" s="7" t="s">
        <v>211</v>
      </c>
      <c r="F49" s="7" t="s">
        <v>324</v>
      </c>
      <c r="G49" s="7" t="s">
        <v>325</v>
      </c>
      <c r="H49" s="7" t="s">
        <v>207</v>
      </c>
      <c r="I49" s="7" t="s">
        <v>326</v>
      </c>
      <c r="J49" s="7" t="s">
        <v>43</v>
      </c>
      <c r="K49" s="7" t="s">
        <v>72</v>
      </c>
      <c r="L49" s="7" t="s">
        <v>45</v>
      </c>
      <c r="M49" s="7" t="s">
        <v>321</v>
      </c>
      <c r="N49" s="7" t="s">
        <v>73</v>
      </c>
      <c r="O49" s="7">
        <v>2.0</v>
      </c>
      <c r="P49" s="7" t="s">
        <v>43</v>
      </c>
      <c r="Q49" s="7" t="s">
        <v>48</v>
      </c>
      <c r="R49" s="7"/>
      <c r="S49" s="7"/>
      <c r="T49" s="7"/>
    </row>
    <row r="50" ht="15.75" customHeight="1">
      <c r="A50" s="7" t="s">
        <v>186</v>
      </c>
      <c r="B50" s="7" t="s">
        <v>187</v>
      </c>
      <c r="C50" s="7" t="s">
        <v>327</v>
      </c>
      <c r="D50" s="7" t="s">
        <v>150</v>
      </c>
      <c r="E50" s="7" t="s">
        <v>106</v>
      </c>
      <c r="F50" s="7" t="s">
        <v>328</v>
      </c>
      <c r="G50" s="7" t="s">
        <v>329</v>
      </c>
      <c r="H50" s="7" t="s">
        <v>330</v>
      </c>
      <c r="I50" s="7" t="s">
        <v>331</v>
      </c>
      <c r="J50" s="7" t="s">
        <v>43</v>
      </c>
      <c r="K50" s="7" t="s">
        <v>44</v>
      </c>
      <c r="L50" s="7" t="s">
        <v>45</v>
      </c>
      <c r="M50" s="7" t="s">
        <v>332</v>
      </c>
      <c r="N50" s="7" t="s">
        <v>239</v>
      </c>
      <c r="O50" s="7">
        <v>2.0</v>
      </c>
      <c r="P50" s="7" t="s">
        <v>43</v>
      </c>
      <c r="Q50" s="7" t="s">
        <v>48</v>
      </c>
      <c r="R50" s="7"/>
      <c r="S50" s="7"/>
      <c r="T50" s="7"/>
    </row>
    <row r="51" ht="15.75" customHeight="1">
      <c r="A51" s="7" t="s">
        <v>186</v>
      </c>
      <c r="B51" s="7" t="s">
        <v>187</v>
      </c>
      <c r="C51" s="7" t="s">
        <v>333</v>
      </c>
      <c r="D51" s="7" t="s">
        <v>150</v>
      </c>
      <c r="E51" s="7" t="s">
        <v>218</v>
      </c>
      <c r="F51" s="7" t="s">
        <v>334</v>
      </c>
      <c r="G51" s="7" t="s">
        <v>335</v>
      </c>
      <c r="H51" s="7" t="s">
        <v>330</v>
      </c>
      <c r="I51" s="7" t="s">
        <v>336</v>
      </c>
      <c r="J51" s="7" t="s">
        <v>43</v>
      </c>
      <c r="K51" s="7" t="s">
        <v>44</v>
      </c>
      <c r="L51" s="7" t="s">
        <v>45</v>
      </c>
      <c r="M51" s="7" t="s">
        <v>332</v>
      </c>
      <c r="N51" s="7" t="s">
        <v>239</v>
      </c>
      <c r="O51" s="7">
        <v>2.0</v>
      </c>
      <c r="P51" s="7" t="s">
        <v>43</v>
      </c>
      <c r="Q51" s="7" t="s">
        <v>48</v>
      </c>
      <c r="R51" s="7"/>
      <c r="S51" s="7"/>
      <c r="T51" s="7"/>
    </row>
    <row r="52" ht="15.75" customHeight="1">
      <c r="A52" s="7" t="s">
        <v>186</v>
      </c>
      <c r="B52" s="7" t="s">
        <v>187</v>
      </c>
      <c r="C52" s="7" t="s">
        <v>337</v>
      </c>
      <c r="D52" s="7" t="s">
        <v>150</v>
      </c>
      <c r="E52" s="7" t="s">
        <v>224</v>
      </c>
      <c r="F52" s="7" t="s">
        <v>338</v>
      </c>
      <c r="G52" s="7" t="s">
        <v>339</v>
      </c>
      <c r="H52" s="7" t="s">
        <v>340</v>
      </c>
      <c r="I52" s="7" t="s">
        <v>341</v>
      </c>
      <c r="J52" s="7" t="s">
        <v>113</v>
      </c>
      <c r="K52" s="7" t="s">
        <v>72</v>
      </c>
      <c r="L52" s="7" t="s">
        <v>45</v>
      </c>
      <c r="M52" s="7" t="s">
        <v>342</v>
      </c>
      <c r="N52" s="7" t="s">
        <v>73</v>
      </c>
      <c r="O52" s="7">
        <v>1.0</v>
      </c>
      <c r="P52" s="7" t="s">
        <v>113</v>
      </c>
      <c r="Q52" s="7" t="s">
        <v>48</v>
      </c>
      <c r="R52" s="7"/>
      <c r="S52" s="7"/>
      <c r="T52" s="7"/>
    </row>
    <row r="53" ht="15.75" customHeight="1">
      <c r="A53" s="7" t="s">
        <v>186</v>
      </c>
      <c r="B53" s="7" t="s">
        <v>187</v>
      </c>
      <c r="C53" s="7" t="s">
        <v>343</v>
      </c>
      <c r="D53" s="7" t="s">
        <v>150</v>
      </c>
      <c r="E53" s="7" t="s">
        <v>163</v>
      </c>
      <c r="F53" s="7" t="s">
        <v>344</v>
      </c>
      <c r="G53" s="7" t="s">
        <v>345</v>
      </c>
      <c r="H53" s="7" t="s">
        <v>340</v>
      </c>
      <c r="I53" s="7" t="s">
        <v>346</v>
      </c>
      <c r="J53" s="7" t="s">
        <v>113</v>
      </c>
      <c r="K53" s="7" t="s">
        <v>72</v>
      </c>
      <c r="L53" s="7" t="s">
        <v>45</v>
      </c>
      <c r="M53" s="7" t="s">
        <v>347</v>
      </c>
      <c r="N53" s="7" t="s">
        <v>73</v>
      </c>
      <c r="O53" s="7">
        <v>1.0</v>
      </c>
      <c r="P53" s="7" t="s">
        <v>113</v>
      </c>
      <c r="Q53" s="7" t="s">
        <v>48</v>
      </c>
      <c r="R53" s="7"/>
      <c r="S53" s="7"/>
      <c r="T53" s="7"/>
    </row>
    <row r="54" ht="15.75" customHeight="1">
      <c r="A54" s="7" t="s">
        <v>186</v>
      </c>
      <c r="B54" s="7" t="s">
        <v>187</v>
      </c>
      <c r="C54" s="7" t="s">
        <v>348</v>
      </c>
      <c r="D54" s="7" t="s">
        <v>150</v>
      </c>
      <c r="E54" s="7" t="s">
        <v>151</v>
      </c>
      <c r="F54" s="7" t="s">
        <v>349</v>
      </c>
      <c r="G54" s="7" t="s">
        <v>350</v>
      </c>
      <c r="H54" s="7" t="s">
        <v>340</v>
      </c>
      <c r="I54" s="7" t="s">
        <v>351</v>
      </c>
      <c r="J54" s="7" t="s">
        <v>43</v>
      </c>
      <c r="K54" s="7" t="s">
        <v>44</v>
      </c>
      <c r="L54" s="7" t="s">
        <v>45</v>
      </c>
      <c r="M54" s="7" t="s">
        <v>352</v>
      </c>
      <c r="N54" s="7" t="s">
        <v>353</v>
      </c>
      <c r="O54" s="7">
        <v>3.0</v>
      </c>
      <c r="P54" s="7" t="s">
        <v>43</v>
      </c>
      <c r="Q54" s="7" t="s">
        <v>48</v>
      </c>
      <c r="R54" s="7"/>
      <c r="S54" s="7"/>
      <c r="T54" s="7"/>
    </row>
    <row r="55" ht="15.75" customHeight="1">
      <c r="A55" s="7" t="s">
        <v>186</v>
      </c>
      <c r="B55" s="7" t="s">
        <v>187</v>
      </c>
      <c r="C55" s="7" t="s">
        <v>354</v>
      </c>
      <c r="D55" s="7" t="s">
        <v>150</v>
      </c>
      <c r="E55" s="7" t="s">
        <v>241</v>
      </c>
      <c r="F55" s="7" t="s">
        <v>355</v>
      </c>
      <c r="G55" s="7" t="s">
        <v>356</v>
      </c>
      <c r="H55" s="7" t="s">
        <v>340</v>
      </c>
      <c r="I55" s="7" t="s">
        <v>357</v>
      </c>
      <c r="J55" s="7" t="s">
        <v>43</v>
      </c>
      <c r="K55" s="7" t="s">
        <v>44</v>
      </c>
      <c r="L55" s="7" t="s">
        <v>45</v>
      </c>
      <c r="M55" s="7" t="s">
        <v>352</v>
      </c>
      <c r="N55" s="7" t="s">
        <v>353</v>
      </c>
      <c r="O55" s="7">
        <v>3.0</v>
      </c>
      <c r="P55" s="7" t="s">
        <v>43</v>
      </c>
      <c r="Q55" s="7" t="s">
        <v>48</v>
      </c>
      <c r="R55" s="7"/>
      <c r="S55" s="7"/>
      <c r="T55" s="7"/>
    </row>
    <row r="56" ht="15.75" customHeight="1">
      <c r="A56" s="7" t="s">
        <v>186</v>
      </c>
      <c r="B56" s="7" t="s">
        <v>187</v>
      </c>
      <c r="C56" s="7" t="s">
        <v>358</v>
      </c>
      <c r="D56" s="7" t="s">
        <v>150</v>
      </c>
      <c r="E56" s="7" t="s">
        <v>246</v>
      </c>
      <c r="F56" s="7" t="s">
        <v>359</v>
      </c>
      <c r="G56" s="7" t="s">
        <v>350</v>
      </c>
      <c r="H56" s="7" t="s">
        <v>360</v>
      </c>
      <c r="I56" s="7" t="s">
        <v>361</v>
      </c>
      <c r="J56" s="7" t="s">
        <v>43</v>
      </c>
      <c r="K56" s="7" t="s">
        <v>44</v>
      </c>
      <c r="L56" s="7" t="s">
        <v>45</v>
      </c>
      <c r="M56" s="7" t="s">
        <v>352</v>
      </c>
      <c r="N56" s="7" t="s">
        <v>353</v>
      </c>
      <c r="O56" s="7">
        <v>3.0</v>
      </c>
      <c r="P56" s="7" t="s">
        <v>43</v>
      </c>
      <c r="Q56" s="7" t="s">
        <v>48</v>
      </c>
      <c r="R56" s="7"/>
      <c r="S56" s="7"/>
      <c r="T56" s="7"/>
    </row>
    <row r="57" ht="15.75" customHeight="1">
      <c r="A57" s="7" t="s">
        <v>186</v>
      </c>
      <c r="B57" s="7" t="s">
        <v>187</v>
      </c>
      <c r="C57" s="7" t="s">
        <v>362</v>
      </c>
      <c r="D57" s="7" t="s">
        <v>363</v>
      </c>
      <c r="E57" s="7" t="s">
        <v>38</v>
      </c>
      <c r="F57" s="7" t="s">
        <v>364</v>
      </c>
      <c r="G57" s="7" t="s">
        <v>365</v>
      </c>
      <c r="H57" s="7" t="s">
        <v>366</v>
      </c>
      <c r="I57" s="7" t="s">
        <v>367</v>
      </c>
      <c r="J57" s="7" t="s">
        <v>43</v>
      </c>
      <c r="K57" s="7" t="s">
        <v>72</v>
      </c>
      <c r="L57" s="7" t="s">
        <v>45</v>
      </c>
      <c r="M57" s="7" t="s">
        <v>368</v>
      </c>
      <c r="N57" s="7" t="s">
        <v>73</v>
      </c>
      <c r="O57" s="7">
        <v>3.0</v>
      </c>
      <c r="P57" s="7" t="s">
        <v>43</v>
      </c>
      <c r="Q57" s="7" t="s">
        <v>48</v>
      </c>
      <c r="R57" s="7"/>
      <c r="S57" s="7"/>
      <c r="T57" s="7"/>
    </row>
    <row r="58" ht="15.75" customHeight="1">
      <c r="A58" s="7" t="s">
        <v>186</v>
      </c>
      <c r="B58" s="7" t="s">
        <v>187</v>
      </c>
      <c r="C58" s="7" t="s">
        <v>369</v>
      </c>
      <c r="D58" s="7" t="s">
        <v>363</v>
      </c>
      <c r="E58" s="7" t="s">
        <v>57</v>
      </c>
      <c r="F58" s="7" t="s">
        <v>370</v>
      </c>
      <c r="G58" s="7" t="s">
        <v>371</v>
      </c>
      <c r="H58" s="7" t="s">
        <v>366</v>
      </c>
      <c r="I58" s="7" t="s">
        <v>372</v>
      </c>
      <c r="J58" s="7" t="s">
        <v>43</v>
      </c>
      <c r="K58" s="7" t="s">
        <v>72</v>
      </c>
      <c r="L58" s="7" t="s">
        <v>45</v>
      </c>
      <c r="M58" s="7" t="s">
        <v>368</v>
      </c>
      <c r="N58" s="7" t="s">
        <v>73</v>
      </c>
      <c r="O58" s="7">
        <v>3.0</v>
      </c>
      <c r="P58" s="7" t="s">
        <v>43</v>
      </c>
      <c r="Q58" s="7" t="s">
        <v>48</v>
      </c>
      <c r="R58" s="7"/>
      <c r="S58" s="7"/>
      <c r="T58" s="7"/>
    </row>
    <row r="59" ht="15.75" customHeight="1">
      <c r="A59" s="7" t="s">
        <v>186</v>
      </c>
      <c r="B59" s="7" t="s">
        <v>187</v>
      </c>
      <c r="C59" s="7" t="s">
        <v>373</v>
      </c>
      <c r="D59" s="7" t="s">
        <v>363</v>
      </c>
      <c r="E59" s="7" t="s">
        <v>198</v>
      </c>
      <c r="F59" s="7" t="s">
        <v>374</v>
      </c>
      <c r="G59" s="7" t="s">
        <v>375</v>
      </c>
      <c r="H59" s="7" t="s">
        <v>366</v>
      </c>
      <c r="I59" s="7" t="s">
        <v>376</v>
      </c>
      <c r="J59" s="7" t="s">
        <v>43</v>
      </c>
      <c r="K59" s="7" t="s">
        <v>72</v>
      </c>
      <c r="L59" s="7" t="s">
        <v>45</v>
      </c>
      <c r="M59" s="7" t="s">
        <v>368</v>
      </c>
      <c r="N59" s="7" t="s">
        <v>73</v>
      </c>
      <c r="O59" s="7">
        <v>3.0</v>
      </c>
      <c r="P59" s="7" t="s">
        <v>43</v>
      </c>
      <c r="Q59" s="7" t="s">
        <v>48</v>
      </c>
      <c r="R59" s="7"/>
      <c r="S59" s="7"/>
      <c r="T59" s="7"/>
    </row>
    <row r="60" ht="15.75" customHeight="1">
      <c r="A60" s="7" t="s">
        <v>186</v>
      </c>
      <c r="B60" s="7" t="s">
        <v>187</v>
      </c>
      <c r="C60" s="7" t="s">
        <v>377</v>
      </c>
      <c r="D60" s="7" t="s">
        <v>363</v>
      </c>
      <c r="E60" s="7" t="s">
        <v>204</v>
      </c>
      <c r="F60" s="7" t="s">
        <v>378</v>
      </c>
      <c r="G60" s="7" t="s">
        <v>379</v>
      </c>
      <c r="H60" s="7" t="s">
        <v>380</v>
      </c>
      <c r="I60" s="7" t="s">
        <v>381</v>
      </c>
      <c r="J60" s="7" t="s">
        <v>43</v>
      </c>
      <c r="K60" s="7" t="s">
        <v>72</v>
      </c>
      <c r="L60" s="7" t="s">
        <v>45</v>
      </c>
      <c r="M60" s="7" t="s">
        <v>382</v>
      </c>
      <c r="N60" s="7" t="s">
        <v>73</v>
      </c>
      <c r="O60" s="7">
        <v>3.0</v>
      </c>
      <c r="P60" s="7" t="s">
        <v>43</v>
      </c>
      <c r="Q60" s="7" t="s">
        <v>48</v>
      </c>
      <c r="R60" s="7"/>
      <c r="S60" s="7"/>
      <c r="T60" s="7"/>
    </row>
    <row r="61" ht="15.75" customHeight="1">
      <c r="A61" s="7" t="s">
        <v>186</v>
      </c>
      <c r="B61" s="7" t="s">
        <v>187</v>
      </c>
      <c r="C61" s="7" t="s">
        <v>383</v>
      </c>
      <c r="D61" s="7" t="s">
        <v>363</v>
      </c>
      <c r="E61" s="7" t="s">
        <v>211</v>
      </c>
      <c r="F61" s="7" t="s">
        <v>384</v>
      </c>
      <c r="G61" s="7" t="s">
        <v>385</v>
      </c>
      <c r="H61" s="7" t="s">
        <v>380</v>
      </c>
      <c r="I61" s="7" t="s">
        <v>386</v>
      </c>
      <c r="J61" s="7" t="s">
        <v>43</v>
      </c>
      <c r="K61" s="7" t="s">
        <v>72</v>
      </c>
      <c r="L61" s="7" t="s">
        <v>45</v>
      </c>
      <c r="M61" s="7" t="s">
        <v>382</v>
      </c>
      <c r="N61" s="7" t="s">
        <v>73</v>
      </c>
      <c r="O61" s="7">
        <v>3.0</v>
      </c>
      <c r="P61" s="7" t="s">
        <v>43</v>
      </c>
      <c r="Q61" s="7" t="s">
        <v>48</v>
      </c>
      <c r="R61" s="7"/>
      <c r="S61" s="7"/>
      <c r="T61" s="7"/>
    </row>
    <row r="62" ht="15.75" customHeight="1">
      <c r="A62" s="7" t="s">
        <v>186</v>
      </c>
      <c r="B62" s="7" t="s">
        <v>187</v>
      </c>
      <c r="C62" s="7" t="s">
        <v>387</v>
      </c>
      <c r="D62" s="7" t="s">
        <v>363</v>
      </c>
      <c r="E62" s="7" t="s">
        <v>106</v>
      </c>
      <c r="F62" s="7" t="s">
        <v>388</v>
      </c>
      <c r="G62" s="7" t="s">
        <v>389</v>
      </c>
      <c r="H62" s="7" t="s">
        <v>380</v>
      </c>
      <c r="I62" s="7" t="s">
        <v>390</v>
      </c>
      <c r="J62" s="7" t="s">
        <v>43</v>
      </c>
      <c r="K62" s="7" t="s">
        <v>72</v>
      </c>
      <c r="L62" s="7" t="s">
        <v>45</v>
      </c>
      <c r="M62" s="7" t="s">
        <v>382</v>
      </c>
      <c r="N62" s="7" t="s">
        <v>73</v>
      </c>
      <c r="O62" s="7">
        <v>3.0</v>
      </c>
      <c r="P62" s="7" t="s">
        <v>43</v>
      </c>
      <c r="Q62" s="7" t="s">
        <v>48</v>
      </c>
      <c r="R62" s="7"/>
      <c r="S62" s="7"/>
      <c r="T62" s="7"/>
    </row>
    <row r="63" ht="15.75" customHeight="1">
      <c r="A63" s="7" t="s">
        <v>186</v>
      </c>
      <c r="B63" s="7" t="s">
        <v>187</v>
      </c>
      <c r="C63" s="7" t="s">
        <v>391</v>
      </c>
      <c r="D63" s="7" t="s">
        <v>363</v>
      </c>
      <c r="E63" s="7" t="s">
        <v>218</v>
      </c>
      <c r="F63" s="7" t="s">
        <v>392</v>
      </c>
      <c r="G63" s="7" t="s">
        <v>393</v>
      </c>
      <c r="H63" s="7" t="s">
        <v>394</v>
      </c>
      <c r="I63" s="7" t="s">
        <v>395</v>
      </c>
      <c r="J63" s="7" t="s">
        <v>43</v>
      </c>
      <c r="K63" s="7" t="s">
        <v>44</v>
      </c>
      <c r="L63" s="7" t="s">
        <v>110</v>
      </c>
      <c r="M63" s="7" t="s">
        <v>396</v>
      </c>
      <c r="N63" s="7" t="s">
        <v>112</v>
      </c>
      <c r="O63" s="7">
        <v>2.0</v>
      </c>
      <c r="P63" s="7" t="s">
        <v>43</v>
      </c>
      <c r="Q63" s="7" t="s">
        <v>48</v>
      </c>
      <c r="R63" s="7"/>
      <c r="S63" s="7"/>
      <c r="T63" s="7"/>
    </row>
    <row r="64" ht="15.75" customHeight="1">
      <c r="A64" s="7" t="s">
        <v>186</v>
      </c>
      <c r="B64" s="7" t="s">
        <v>187</v>
      </c>
      <c r="C64" s="7" t="s">
        <v>397</v>
      </c>
      <c r="D64" s="7" t="s">
        <v>363</v>
      </c>
      <c r="E64" s="7" t="s">
        <v>224</v>
      </c>
      <c r="F64" s="7" t="s">
        <v>398</v>
      </c>
      <c r="G64" s="7" t="s">
        <v>393</v>
      </c>
      <c r="H64" s="7" t="s">
        <v>394</v>
      </c>
      <c r="I64" s="7" t="s">
        <v>399</v>
      </c>
      <c r="J64" s="7" t="s">
        <v>43</v>
      </c>
      <c r="K64" s="7" t="s">
        <v>44</v>
      </c>
      <c r="L64" s="7" t="s">
        <v>110</v>
      </c>
      <c r="M64" s="7" t="s">
        <v>396</v>
      </c>
      <c r="N64" s="7" t="s">
        <v>112</v>
      </c>
      <c r="O64" s="7">
        <v>2.0</v>
      </c>
      <c r="P64" s="7" t="s">
        <v>43</v>
      </c>
      <c r="Q64" s="7" t="s">
        <v>48</v>
      </c>
      <c r="R64" s="7"/>
      <c r="S64" s="7"/>
      <c r="T64" s="7"/>
    </row>
    <row r="65" ht="15.75" customHeight="1">
      <c r="A65" s="7" t="s">
        <v>186</v>
      </c>
      <c r="B65" s="7" t="s">
        <v>187</v>
      </c>
      <c r="C65" s="7" t="s">
        <v>400</v>
      </c>
      <c r="D65" s="7" t="s">
        <v>363</v>
      </c>
      <c r="E65" s="7" t="s">
        <v>163</v>
      </c>
      <c r="F65" s="7" t="s">
        <v>401</v>
      </c>
      <c r="G65" s="7" t="s">
        <v>402</v>
      </c>
      <c r="H65" s="7" t="s">
        <v>403</v>
      </c>
      <c r="I65" s="7" t="s">
        <v>404</v>
      </c>
      <c r="J65" s="7" t="s">
        <v>43</v>
      </c>
      <c r="K65" s="7" t="s">
        <v>44</v>
      </c>
      <c r="L65" s="7" t="s">
        <v>110</v>
      </c>
      <c r="M65" s="7" t="s">
        <v>405</v>
      </c>
      <c r="N65" s="7" t="s">
        <v>112</v>
      </c>
      <c r="O65" s="7">
        <v>2.0</v>
      </c>
      <c r="P65" s="7" t="s">
        <v>43</v>
      </c>
      <c r="Q65" s="7" t="s">
        <v>48</v>
      </c>
      <c r="R65" s="7"/>
      <c r="S65" s="7"/>
      <c r="T65" s="7"/>
    </row>
    <row r="66" ht="15.75" customHeight="1">
      <c r="A66" s="7" t="s">
        <v>186</v>
      </c>
      <c r="B66" s="7" t="s">
        <v>187</v>
      </c>
      <c r="C66" s="7" t="s">
        <v>406</v>
      </c>
      <c r="D66" s="7" t="s">
        <v>363</v>
      </c>
      <c r="E66" s="7" t="s">
        <v>151</v>
      </c>
      <c r="F66" s="7" t="s">
        <v>407</v>
      </c>
      <c r="G66" s="7" t="s">
        <v>408</v>
      </c>
      <c r="H66" s="7" t="s">
        <v>403</v>
      </c>
      <c r="I66" s="7" t="s">
        <v>409</v>
      </c>
      <c r="J66" s="7" t="s">
        <v>43</v>
      </c>
      <c r="K66" s="7" t="s">
        <v>44</v>
      </c>
      <c r="L66" s="7" t="s">
        <v>110</v>
      </c>
      <c r="M66" s="7" t="s">
        <v>405</v>
      </c>
      <c r="N66" s="7" t="s">
        <v>112</v>
      </c>
      <c r="O66" s="7">
        <v>2.0</v>
      </c>
      <c r="P66" s="7" t="s">
        <v>43</v>
      </c>
      <c r="Q66" s="7" t="s">
        <v>48</v>
      </c>
      <c r="R66" s="7"/>
      <c r="S66" s="7"/>
      <c r="T66" s="7"/>
    </row>
    <row r="67" ht="15.75" customHeight="1">
      <c r="A67" s="7" t="s">
        <v>186</v>
      </c>
      <c r="B67" s="7" t="s">
        <v>187</v>
      </c>
      <c r="C67" s="7" t="s">
        <v>410</v>
      </c>
      <c r="D67" s="7" t="s">
        <v>363</v>
      </c>
      <c r="E67" s="7" t="s">
        <v>241</v>
      </c>
      <c r="F67" s="7" t="s">
        <v>411</v>
      </c>
      <c r="G67" s="7" t="s">
        <v>412</v>
      </c>
      <c r="H67" s="7" t="s">
        <v>413</v>
      </c>
      <c r="I67" s="7" t="s">
        <v>414</v>
      </c>
      <c r="J67" s="7" t="s">
        <v>43</v>
      </c>
      <c r="K67" s="7" t="s">
        <v>72</v>
      </c>
      <c r="L67" s="7" t="s">
        <v>45</v>
      </c>
      <c r="M67" s="7" t="s">
        <v>415</v>
      </c>
      <c r="N67" s="7" t="s">
        <v>73</v>
      </c>
      <c r="O67" s="7">
        <v>2.0</v>
      </c>
      <c r="P67" s="7" t="s">
        <v>43</v>
      </c>
      <c r="Q67" s="7" t="s">
        <v>48</v>
      </c>
      <c r="R67" s="7"/>
      <c r="S67" s="7"/>
      <c r="T67" s="7"/>
    </row>
    <row r="68" ht="15.75" customHeight="1">
      <c r="A68" s="7" t="s">
        <v>186</v>
      </c>
      <c r="B68" s="7" t="s">
        <v>187</v>
      </c>
      <c r="C68" s="7" t="s">
        <v>416</v>
      </c>
      <c r="D68" s="7" t="s">
        <v>363</v>
      </c>
      <c r="E68" s="7" t="s">
        <v>246</v>
      </c>
      <c r="F68" s="7" t="s">
        <v>417</v>
      </c>
      <c r="G68" s="7" t="s">
        <v>418</v>
      </c>
      <c r="H68" s="7" t="s">
        <v>413</v>
      </c>
      <c r="I68" s="7" t="s">
        <v>419</v>
      </c>
      <c r="J68" s="7" t="s">
        <v>43</v>
      </c>
      <c r="K68" s="7" t="s">
        <v>72</v>
      </c>
      <c r="L68" s="7" t="s">
        <v>45</v>
      </c>
      <c r="M68" s="7" t="s">
        <v>415</v>
      </c>
      <c r="N68" s="7" t="s">
        <v>73</v>
      </c>
      <c r="O68" s="7">
        <v>2.0</v>
      </c>
      <c r="P68" s="7" t="s">
        <v>43</v>
      </c>
      <c r="Q68" s="7" t="s">
        <v>48</v>
      </c>
      <c r="R68" s="7"/>
      <c r="S68" s="7"/>
      <c r="T68" s="7"/>
    </row>
    <row r="69" ht="15.75" customHeight="1">
      <c r="A69" s="7" t="s">
        <v>186</v>
      </c>
      <c r="B69" s="7" t="s">
        <v>187</v>
      </c>
      <c r="C69" s="7" t="s">
        <v>420</v>
      </c>
      <c r="D69" s="7" t="s">
        <v>421</v>
      </c>
      <c r="E69" s="7" t="s">
        <v>38</v>
      </c>
      <c r="F69" s="7" t="s">
        <v>422</v>
      </c>
      <c r="G69" s="7" t="s">
        <v>423</v>
      </c>
      <c r="H69" s="7" t="s">
        <v>424</v>
      </c>
      <c r="I69" s="7" t="s">
        <v>425</v>
      </c>
      <c r="J69" s="7" t="s">
        <v>113</v>
      </c>
      <c r="K69" s="7"/>
      <c r="L69" s="7"/>
      <c r="M69" s="7"/>
      <c r="N69" s="7" t="s">
        <v>185</v>
      </c>
      <c r="O69" s="7">
        <v>0.0</v>
      </c>
      <c r="P69" s="7" t="s">
        <v>113</v>
      </c>
      <c r="Q69" s="7" t="s">
        <v>48</v>
      </c>
      <c r="R69" s="7"/>
      <c r="S69" s="7"/>
      <c r="T69" s="7"/>
    </row>
    <row r="70" ht="15.75" customHeight="1">
      <c r="A70" s="7" t="s">
        <v>186</v>
      </c>
      <c r="B70" s="7" t="s">
        <v>187</v>
      </c>
      <c r="C70" s="7" t="s">
        <v>426</v>
      </c>
      <c r="D70" s="7" t="s">
        <v>421</v>
      </c>
      <c r="E70" s="7" t="s">
        <v>57</v>
      </c>
      <c r="F70" s="7" t="s">
        <v>427</v>
      </c>
      <c r="G70" s="7" t="s">
        <v>428</v>
      </c>
      <c r="H70" s="7" t="s">
        <v>424</v>
      </c>
      <c r="I70" s="7" t="s">
        <v>429</v>
      </c>
      <c r="J70" s="7" t="s">
        <v>113</v>
      </c>
      <c r="K70" s="7"/>
      <c r="L70" s="7"/>
      <c r="M70" s="7"/>
      <c r="N70" s="7" t="s">
        <v>185</v>
      </c>
      <c r="O70" s="7">
        <v>0.0</v>
      </c>
      <c r="P70" s="7" t="s">
        <v>113</v>
      </c>
      <c r="Q70" s="7" t="s">
        <v>48</v>
      </c>
      <c r="R70" s="7"/>
      <c r="S70" s="7"/>
      <c r="T70" s="7"/>
    </row>
    <row r="71" ht="15.75" customHeight="1">
      <c r="A71" s="7" t="s">
        <v>186</v>
      </c>
      <c r="B71" s="7" t="s">
        <v>187</v>
      </c>
      <c r="C71" s="7" t="s">
        <v>430</v>
      </c>
      <c r="D71" s="7" t="s">
        <v>421</v>
      </c>
      <c r="E71" s="7" t="s">
        <v>198</v>
      </c>
      <c r="F71" s="7" t="s">
        <v>431</v>
      </c>
      <c r="G71" s="7" t="s">
        <v>432</v>
      </c>
      <c r="H71" s="7" t="s">
        <v>433</v>
      </c>
      <c r="I71" s="7" t="s">
        <v>434</v>
      </c>
      <c r="J71" s="7" t="s">
        <v>43</v>
      </c>
      <c r="K71" s="7" t="s">
        <v>44</v>
      </c>
      <c r="L71" s="7" t="s">
        <v>45</v>
      </c>
      <c r="M71" s="7" t="s">
        <v>435</v>
      </c>
      <c r="N71" s="7" t="s">
        <v>239</v>
      </c>
      <c r="O71" s="7">
        <v>2.0</v>
      </c>
      <c r="P71" s="7" t="s">
        <v>43</v>
      </c>
      <c r="Q71" s="7" t="s">
        <v>48</v>
      </c>
      <c r="R71" s="7"/>
      <c r="S71" s="7"/>
      <c r="T71" s="7"/>
    </row>
    <row r="72" ht="15.75" customHeight="1">
      <c r="A72" s="7" t="s">
        <v>186</v>
      </c>
      <c r="B72" s="7" t="s">
        <v>187</v>
      </c>
      <c r="C72" s="7" t="s">
        <v>436</v>
      </c>
      <c r="D72" s="7" t="s">
        <v>421</v>
      </c>
      <c r="E72" s="7" t="s">
        <v>204</v>
      </c>
      <c r="F72" s="7" t="s">
        <v>437</v>
      </c>
      <c r="G72" s="7" t="s">
        <v>438</v>
      </c>
      <c r="H72" s="7" t="s">
        <v>433</v>
      </c>
      <c r="I72" s="7" t="s">
        <v>244</v>
      </c>
      <c r="J72" s="7" t="s">
        <v>43</v>
      </c>
      <c r="K72" s="7" t="s">
        <v>44</v>
      </c>
      <c r="L72" s="7" t="s">
        <v>45</v>
      </c>
      <c r="M72" s="7" t="s">
        <v>435</v>
      </c>
      <c r="N72" s="7" t="s">
        <v>239</v>
      </c>
      <c r="O72" s="7">
        <v>2.0</v>
      </c>
      <c r="P72" s="7" t="s">
        <v>43</v>
      </c>
      <c r="Q72" s="7" t="s">
        <v>48</v>
      </c>
      <c r="R72" s="7"/>
      <c r="S72" s="7"/>
      <c r="T72" s="7"/>
    </row>
    <row r="73" ht="15.75" customHeight="1">
      <c r="A73" s="7" t="s">
        <v>186</v>
      </c>
      <c r="B73" s="7" t="s">
        <v>187</v>
      </c>
      <c r="C73" s="7" t="s">
        <v>439</v>
      </c>
      <c r="D73" s="7" t="s">
        <v>421</v>
      </c>
      <c r="E73" s="7" t="s">
        <v>211</v>
      </c>
      <c r="F73" s="7" t="s">
        <v>440</v>
      </c>
      <c r="G73" s="7" t="s">
        <v>441</v>
      </c>
      <c r="H73" s="7" t="s">
        <v>442</v>
      </c>
      <c r="I73" s="7" t="s">
        <v>443</v>
      </c>
      <c r="J73" s="7" t="s">
        <v>43</v>
      </c>
      <c r="K73" s="7" t="s">
        <v>72</v>
      </c>
      <c r="L73" s="7" t="s">
        <v>45</v>
      </c>
      <c r="M73" s="7" t="s">
        <v>444</v>
      </c>
      <c r="N73" s="7" t="s">
        <v>73</v>
      </c>
      <c r="O73" s="7">
        <v>3.0</v>
      </c>
      <c r="P73" s="7" t="s">
        <v>43</v>
      </c>
      <c r="Q73" s="7" t="s">
        <v>48</v>
      </c>
      <c r="R73" s="7"/>
      <c r="S73" s="7"/>
      <c r="T73" s="7"/>
    </row>
    <row r="74" ht="15.75" customHeight="1">
      <c r="A74" s="7" t="s">
        <v>186</v>
      </c>
      <c r="B74" s="7" t="s">
        <v>187</v>
      </c>
      <c r="C74" s="7" t="s">
        <v>445</v>
      </c>
      <c r="D74" s="7" t="s">
        <v>421</v>
      </c>
      <c r="E74" s="7" t="s">
        <v>106</v>
      </c>
      <c r="F74" s="7" t="s">
        <v>446</v>
      </c>
      <c r="G74" s="7" t="s">
        <v>447</v>
      </c>
      <c r="H74" s="7" t="s">
        <v>442</v>
      </c>
      <c r="I74" s="7" t="s">
        <v>448</v>
      </c>
      <c r="J74" s="7" t="s">
        <v>43</v>
      </c>
      <c r="K74" s="7" t="s">
        <v>44</v>
      </c>
      <c r="L74" s="7" t="s">
        <v>45</v>
      </c>
      <c r="M74" s="7" t="s">
        <v>444</v>
      </c>
      <c r="N74" s="7" t="s">
        <v>47</v>
      </c>
      <c r="O74" s="7">
        <v>3.0</v>
      </c>
      <c r="P74" s="7" t="s">
        <v>43</v>
      </c>
      <c r="Q74" s="7" t="s">
        <v>48</v>
      </c>
      <c r="R74" s="7"/>
      <c r="S74" s="7"/>
      <c r="T74" s="7"/>
    </row>
    <row r="75" ht="15.75" customHeight="1">
      <c r="A75" s="7" t="s">
        <v>186</v>
      </c>
      <c r="B75" s="7" t="s">
        <v>187</v>
      </c>
      <c r="C75" s="7" t="s">
        <v>449</v>
      </c>
      <c r="D75" s="7" t="s">
        <v>421</v>
      </c>
      <c r="E75" s="7" t="s">
        <v>218</v>
      </c>
      <c r="F75" s="7" t="s">
        <v>450</v>
      </c>
      <c r="G75" s="7" t="s">
        <v>451</v>
      </c>
      <c r="H75" s="7" t="s">
        <v>442</v>
      </c>
      <c r="I75" s="7" t="s">
        <v>452</v>
      </c>
      <c r="J75" s="7" t="s">
        <v>43</v>
      </c>
      <c r="K75" s="7" t="s">
        <v>44</v>
      </c>
      <c r="L75" s="7" t="s">
        <v>45</v>
      </c>
      <c r="M75" s="7" t="s">
        <v>444</v>
      </c>
      <c r="N75" s="7" t="s">
        <v>47</v>
      </c>
      <c r="O75" s="7">
        <v>3.0</v>
      </c>
      <c r="P75" s="7" t="s">
        <v>43</v>
      </c>
      <c r="Q75" s="7" t="s">
        <v>48</v>
      </c>
      <c r="R75" s="7"/>
      <c r="S75" s="7"/>
      <c r="T75" s="7"/>
    </row>
    <row r="76" ht="15.75" customHeight="1">
      <c r="A76" s="7" t="s">
        <v>186</v>
      </c>
      <c r="B76" s="7" t="s">
        <v>187</v>
      </c>
      <c r="C76" s="7" t="s">
        <v>453</v>
      </c>
      <c r="D76" s="7" t="s">
        <v>421</v>
      </c>
      <c r="E76" s="7" t="s">
        <v>224</v>
      </c>
      <c r="F76" s="7" t="s">
        <v>454</v>
      </c>
      <c r="G76" s="7" t="s">
        <v>455</v>
      </c>
      <c r="H76" s="7" t="s">
        <v>456</v>
      </c>
      <c r="I76" s="7" t="s">
        <v>457</v>
      </c>
      <c r="J76" s="7" t="s">
        <v>113</v>
      </c>
      <c r="K76" s="7" t="s">
        <v>72</v>
      </c>
      <c r="L76" s="7" t="s">
        <v>45</v>
      </c>
      <c r="M76" s="7" t="s">
        <v>458</v>
      </c>
      <c r="N76" s="7" t="s">
        <v>73</v>
      </c>
      <c r="O76" s="7">
        <v>1.0</v>
      </c>
      <c r="P76" s="7" t="s">
        <v>113</v>
      </c>
      <c r="Q76" s="7" t="s">
        <v>48</v>
      </c>
      <c r="R76" s="7"/>
      <c r="S76" s="7"/>
      <c r="T76" s="7"/>
    </row>
    <row r="77" ht="15.75" customHeight="1">
      <c r="A77" s="7" t="s">
        <v>186</v>
      </c>
      <c r="B77" s="7" t="s">
        <v>187</v>
      </c>
      <c r="C77" s="7" t="s">
        <v>459</v>
      </c>
      <c r="D77" s="7" t="s">
        <v>421</v>
      </c>
      <c r="E77" s="7" t="s">
        <v>163</v>
      </c>
      <c r="F77" s="7" t="s">
        <v>460</v>
      </c>
      <c r="G77" s="7" t="s">
        <v>461</v>
      </c>
      <c r="H77" s="7" t="s">
        <v>456</v>
      </c>
      <c r="I77" s="7" t="s">
        <v>462</v>
      </c>
      <c r="J77" s="7" t="s">
        <v>113</v>
      </c>
      <c r="K77" s="7" t="s">
        <v>72</v>
      </c>
      <c r="L77" s="7" t="s">
        <v>45</v>
      </c>
      <c r="M77" s="7" t="s">
        <v>463</v>
      </c>
      <c r="N77" s="7" t="s">
        <v>73</v>
      </c>
      <c r="O77" s="7">
        <v>1.0</v>
      </c>
      <c r="P77" s="7" t="s">
        <v>113</v>
      </c>
      <c r="Q77" s="7" t="s">
        <v>48</v>
      </c>
      <c r="R77" s="7"/>
      <c r="S77" s="7"/>
      <c r="T77" s="7"/>
    </row>
    <row r="78" ht="15.75" customHeight="1">
      <c r="A78" s="7" t="s">
        <v>186</v>
      </c>
      <c r="B78" s="7" t="s">
        <v>187</v>
      </c>
      <c r="C78" s="7" t="s">
        <v>464</v>
      </c>
      <c r="D78" s="7" t="s">
        <v>421</v>
      </c>
      <c r="E78" s="7" t="s">
        <v>151</v>
      </c>
      <c r="F78" s="7" t="s">
        <v>465</v>
      </c>
      <c r="G78" s="7" t="s">
        <v>466</v>
      </c>
      <c r="H78" s="7" t="s">
        <v>456</v>
      </c>
      <c r="I78" s="7" t="s">
        <v>467</v>
      </c>
      <c r="J78" s="7" t="s">
        <v>113</v>
      </c>
      <c r="K78" s="7" t="s">
        <v>72</v>
      </c>
      <c r="L78" s="7" t="s">
        <v>45</v>
      </c>
      <c r="M78" s="7" t="s">
        <v>468</v>
      </c>
      <c r="N78" s="7" t="s">
        <v>73</v>
      </c>
      <c r="O78" s="7">
        <v>1.0</v>
      </c>
      <c r="P78" s="7" t="s">
        <v>113</v>
      </c>
      <c r="Q78" s="7" t="s">
        <v>48</v>
      </c>
      <c r="R78" s="7"/>
      <c r="S78" s="7"/>
      <c r="T78" s="7"/>
    </row>
    <row r="79" ht="15.75" customHeight="1">
      <c r="A79" s="7" t="s">
        <v>186</v>
      </c>
      <c r="B79" s="7" t="s">
        <v>187</v>
      </c>
      <c r="C79" s="7" t="s">
        <v>469</v>
      </c>
      <c r="D79" s="7" t="s">
        <v>421</v>
      </c>
      <c r="E79" s="7" t="s">
        <v>241</v>
      </c>
      <c r="F79" s="7" t="s">
        <v>470</v>
      </c>
      <c r="G79" s="7" t="s">
        <v>471</v>
      </c>
      <c r="H79" s="7" t="s">
        <v>472</v>
      </c>
      <c r="I79" s="7" t="s">
        <v>473</v>
      </c>
      <c r="J79" s="7" t="s">
        <v>43</v>
      </c>
      <c r="K79" s="7" t="s">
        <v>72</v>
      </c>
      <c r="L79" s="7" t="s">
        <v>45</v>
      </c>
      <c r="M79" s="7" t="s">
        <v>474</v>
      </c>
      <c r="N79" s="7" t="s">
        <v>73</v>
      </c>
      <c r="O79" s="7">
        <v>2.0</v>
      </c>
      <c r="P79" s="7" t="s">
        <v>43</v>
      </c>
      <c r="Q79" s="7" t="s">
        <v>48</v>
      </c>
      <c r="R79" s="7"/>
      <c r="S79" s="7"/>
      <c r="T79" s="7"/>
    </row>
    <row r="80" ht="15.75" customHeight="1">
      <c r="A80" s="7" t="s">
        <v>186</v>
      </c>
      <c r="B80" s="7" t="s">
        <v>187</v>
      </c>
      <c r="C80" s="7" t="s">
        <v>475</v>
      </c>
      <c r="D80" s="7" t="s">
        <v>421</v>
      </c>
      <c r="E80" s="7" t="s">
        <v>246</v>
      </c>
      <c r="F80" s="7" t="s">
        <v>476</v>
      </c>
      <c r="G80" s="7" t="s">
        <v>477</v>
      </c>
      <c r="H80" s="7" t="s">
        <v>472</v>
      </c>
      <c r="I80" s="7" t="s">
        <v>478</v>
      </c>
      <c r="J80" s="7" t="s">
        <v>43</v>
      </c>
      <c r="K80" s="7" t="s">
        <v>72</v>
      </c>
      <c r="L80" s="7" t="s">
        <v>45</v>
      </c>
      <c r="M80" s="7" t="s">
        <v>474</v>
      </c>
      <c r="N80" s="7" t="s">
        <v>73</v>
      </c>
      <c r="O80" s="7">
        <v>2.0</v>
      </c>
      <c r="P80" s="7" t="s">
        <v>43</v>
      </c>
      <c r="Q80" s="7" t="s">
        <v>48</v>
      </c>
      <c r="R80" s="7"/>
      <c r="S80" s="7"/>
      <c r="T80" s="7"/>
    </row>
    <row r="81" ht="15.75" customHeight="1">
      <c r="A81" s="7" t="s">
        <v>186</v>
      </c>
      <c r="B81" s="7" t="s">
        <v>187</v>
      </c>
      <c r="C81" s="7" t="s">
        <v>479</v>
      </c>
      <c r="D81" s="7" t="s">
        <v>480</v>
      </c>
      <c r="E81" s="7" t="s">
        <v>38</v>
      </c>
      <c r="F81" s="7" t="s">
        <v>481</v>
      </c>
      <c r="G81" s="7" t="s">
        <v>482</v>
      </c>
      <c r="H81" s="7" t="s">
        <v>483</v>
      </c>
      <c r="I81" s="7" t="s">
        <v>484</v>
      </c>
      <c r="J81" s="7" t="s">
        <v>43</v>
      </c>
      <c r="K81" s="7" t="s">
        <v>72</v>
      </c>
      <c r="L81" s="7" t="s">
        <v>45</v>
      </c>
      <c r="M81" s="7" t="s">
        <v>485</v>
      </c>
      <c r="N81" s="7" t="s">
        <v>73</v>
      </c>
      <c r="O81" s="7">
        <v>2.0</v>
      </c>
      <c r="P81" s="7" t="s">
        <v>43</v>
      </c>
      <c r="Q81" s="7" t="s">
        <v>48</v>
      </c>
      <c r="R81" s="7"/>
      <c r="S81" s="7"/>
      <c r="T81" s="7"/>
    </row>
    <row r="82" ht="15.75" customHeight="1">
      <c r="A82" s="7" t="s">
        <v>186</v>
      </c>
      <c r="B82" s="7" t="s">
        <v>187</v>
      </c>
      <c r="C82" s="7" t="s">
        <v>486</v>
      </c>
      <c r="D82" s="7" t="s">
        <v>480</v>
      </c>
      <c r="E82" s="7" t="s">
        <v>57</v>
      </c>
      <c r="F82" s="7" t="s">
        <v>487</v>
      </c>
      <c r="G82" s="7" t="s">
        <v>488</v>
      </c>
      <c r="H82" s="7" t="s">
        <v>483</v>
      </c>
      <c r="I82" s="7" t="s">
        <v>489</v>
      </c>
      <c r="J82" s="7" t="s">
        <v>43</v>
      </c>
      <c r="K82" s="7" t="s">
        <v>72</v>
      </c>
      <c r="L82" s="7" t="s">
        <v>45</v>
      </c>
      <c r="M82" s="7" t="s">
        <v>485</v>
      </c>
      <c r="N82" s="7" t="s">
        <v>73</v>
      </c>
      <c r="O82" s="7">
        <v>2.0</v>
      </c>
      <c r="P82" s="7" t="s">
        <v>43</v>
      </c>
      <c r="Q82" s="7" t="s">
        <v>48</v>
      </c>
      <c r="R82" s="7"/>
      <c r="S82" s="7"/>
      <c r="T82" s="7"/>
    </row>
    <row r="83" ht="15.75" customHeight="1">
      <c r="A83" s="7" t="s">
        <v>186</v>
      </c>
      <c r="B83" s="7" t="s">
        <v>187</v>
      </c>
      <c r="C83" s="7" t="s">
        <v>490</v>
      </c>
      <c r="D83" s="7" t="s">
        <v>480</v>
      </c>
      <c r="E83" s="7" t="s">
        <v>198</v>
      </c>
      <c r="F83" s="7" t="s">
        <v>491</v>
      </c>
      <c r="G83" s="7" t="s">
        <v>492</v>
      </c>
      <c r="H83" s="7" t="s">
        <v>493</v>
      </c>
      <c r="I83" s="7" t="s">
        <v>494</v>
      </c>
      <c r="J83" s="7" t="s">
        <v>43</v>
      </c>
      <c r="K83" s="7" t="s">
        <v>44</v>
      </c>
      <c r="L83" s="7" t="s">
        <v>45</v>
      </c>
      <c r="M83" s="7" t="s">
        <v>495</v>
      </c>
      <c r="N83" s="7" t="s">
        <v>239</v>
      </c>
      <c r="O83" s="7">
        <v>2.0</v>
      </c>
      <c r="P83" s="7" t="s">
        <v>43</v>
      </c>
      <c r="Q83" s="7" t="s">
        <v>48</v>
      </c>
      <c r="R83" s="7"/>
      <c r="S83" s="7"/>
      <c r="T83" s="7"/>
    </row>
    <row r="84" ht="15.75" customHeight="1">
      <c r="A84" s="7" t="s">
        <v>186</v>
      </c>
      <c r="B84" s="7" t="s">
        <v>187</v>
      </c>
      <c r="C84" s="7" t="s">
        <v>496</v>
      </c>
      <c r="D84" s="7" t="s">
        <v>480</v>
      </c>
      <c r="E84" s="7" t="s">
        <v>204</v>
      </c>
      <c r="F84" s="7" t="s">
        <v>497</v>
      </c>
      <c r="G84" s="7" t="s">
        <v>498</v>
      </c>
      <c r="H84" s="7" t="s">
        <v>493</v>
      </c>
      <c r="I84" s="7" t="s">
        <v>499</v>
      </c>
      <c r="J84" s="7" t="s">
        <v>43</v>
      </c>
      <c r="K84" s="7" t="s">
        <v>44</v>
      </c>
      <c r="L84" s="7" t="s">
        <v>45</v>
      </c>
      <c r="M84" s="7" t="s">
        <v>495</v>
      </c>
      <c r="N84" s="7" t="s">
        <v>239</v>
      </c>
      <c r="O84" s="7">
        <v>2.0</v>
      </c>
      <c r="P84" s="7" t="s">
        <v>43</v>
      </c>
      <c r="Q84" s="7" t="s">
        <v>48</v>
      </c>
      <c r="R84" s="7"/>
      <c r="S84" s="7"/>
      <c r="T84" s="7"/>
    </row>
    <row r="85" ht="15.75" customHeight="1">
      <c r="A85" s="7" t="s">
        <v>186</v>
      </c>
      <c r="B85" s="7" t="s">
        <v>187</v>
      </c>
      <c r="C85" s="7" t="s">
        <v>500</v>
      </c>
      <c r="D85" s="7" t="s">
        <v>480</v>
      </c>
      <c r="E85" s="7" t="s">
        <v>211</v>
      </c>
      <c r="F85" s="7" t="s">
        <v>501</v>
      </c>
      <c r="G85" s="7" t="s">
        <v>146</v>
      </c>
      <c r="H85" s="7" t="s">
        <v>287</v>
      </c>
      <c r="I85" s="7" t="s">
        <v>68</v>
      </c>
      <c r="J85" s="7" t="s">
        <v>113</v>
      </c>
      <c r="K85" s="7" t="s">
        <v>72</v>
      </c>
      <c r="L85" s="7" t="s">
        <v>45</v>
      </c>
      <c r="M85" s="7" t="s">
        <v>71</v>
      </c>
      <c r="N85" s="7" t="s">
        <v>73</v>
      </c>
      <c r="O85" s="7">
        <v>2.0</v>
      </c>
      <c r="P85" s="7" t="s">
        <v>43</v>
      </c>
      <c r="Q85" s="7" t="s">
        <v>95</v>
      </c>
      <c r="R85" s="7" t="s">
        <v>502</v>
      </c>
      <c r="S85" s="7" t="s">
        <v>307</v>
      </c>
      <c r="T85" s="7" t="s">
        <v>503</v>
      </c>
    </row>
    <row r="86" ht="15.75" customHeight="1">
      <c r="A86" s="7" t="s">
        <v>186</v>
      </c>
      <c r="B86" s="7" t="s">
        <v>187</v>
      </c>
      <c r="C86" s="7" t="s">
        <v>504</v>
      </c>
      <c r="D86" s="7" t="s">
        <v>480</v>
      </c>
      <c r="E86" s="7" t="s">
        <v>106</v>
      </c>
      <c r="F86" s="7" t="s">
        <v>505</v>
      </c>
      <c r="G86" s="7" t="s">
        <v>506</v>
      </c>
      <c r="H86" s="7" t="s">
        <v>287</v>
      </c>
      <c r="I86" s="7" t="s">
        <v>507</v>
      </c>
      <c r="J86" s="7" t="s">
        <v>113</v>
      </c>
      <c r="K86" s="7" t="s">
        <v>72</v>
      </c>
      <c r="L86" s="7" t="s">
        <v>45</v>
      </c>
      <c r="M86" s="7" t="s">
        <v>508</v>
      </c>
      <c r="N86" s="7" t="s">
        <v>73</v>
      </c>
      <c r="O86" s="7">
        <v>1.0</v>
      </c>
      <c r="P86" s="7" t="s">
        <v>113</v>
      </c>
      <c r="Q86" s="7" t="s">
        <v>48</v>
      </c>
      <c r="R86" s="7"/>
      <c r="S86" s="7"/>
      <c r="T86" s="7"/>
    </row>
    <row r="87" ht="15.75" customHeight="1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</row>
    <row r="88" ht="15.75" customHeight="1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</row>
    <row r="89" ht="15.75" customHeight="1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</row>
    <row r="90" ht="15.75" customHeight="1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</row>
    <row r="91" ht="15.75" customHeight="1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</row>
    <row r="92" ht="15.75" customHeight="1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</row>
    <row r="93" ht="15.75" customHeight="1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</row>
    <row r="94" ht="15.75" customHeight="1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</row>
    <row r="95" ht="15.75" customHeight="1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</row>
    <row r="96" ht="15.75" customHeight="1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</row>
    <row r="97" ht="15.75" customHeight="1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</row>
    <row r="98" ht="15.75" customHeight="1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</row>
    <row r="99" ht="15.75" customHeight="1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</row>
    <row r="100" ht="15.75" customHeight="1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</row>
    <row r="101" ht="15.75" customHeight="1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</row>
    <row r="102" ht="15.75" customHeight="1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</row>
    <row r="103" ht="15.75" customHeight="1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</row>
    <row r="104" ht="15.75" customHeight="1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</row>
    <row r="105" ht="15.75" customHeight="1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</row>
    <row r="106" ht="15.75" customHeight="1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</row>
    <row r="107" ht="15.75" customHeight="1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</row>
    <row r="108" ht="15.75" customHeight="1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</row>
    <row r="109" ht="15.75" customHeight="1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</row>
    <row r="110" ht="15.75" customHeight="1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</row>
    <row r="111" ht="15.75" customHeight="1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</row>
    <row r="112" ht="15.75" customHeight="1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</row>
    <row r="113" ht="15.75" customHeight="1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</row>
    <row r="114" ht="15.75" customHeight="1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</row>
    <row r="115" ht="15.75" customHeight="1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</row>
    <row r="116" ht="15.75" customHeight="1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</row>
    <row r="117" ht="15.75" customHeight="1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</row>
    <row r="118" ht="15.75" customHeight="1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</row>
    <row r="119" ht="15.75" customHeight="1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</row>
    <row r="120" ht="15.75" customHeight="1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</row>
    <row r="121" ht="15.75" customHeight="1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</row>
    <row r="122" ht="15.75" customHeight="1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</row>
    <row r="123" ht="15.75" customHeight="1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</row>
    <row r="124" ht="15.75" customHeight="1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</row>
    <row r="125" ht="15.75" customHeight="1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</row>
    <row r="126" ht="15.75" customHeight="1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</row>
    <row r="127" ht="15.75" customHeight="1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</row>
    <row r="128" ht="15.75" customHeight="1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</row>
    <row r="129" ht="15.75" customHeight="1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</row>
    <row r="130" ht="15.75" customHeight="1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</row>
    <row r="131" ht="15.75" customHeight="1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</row>
    <row r="132" ht="15.75" customHeight="1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</row>
    <row r="133" ht="15.75" customHeight="1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</row>
    <row r="134" ht="15.75" customHeight="1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</row>
    <row r="135" ht="15.75" customHeight="1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</row>
    <row r="136" ht="15.75" customHeight="1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</row>
    <row r="137" ht="15.75" customHeight="1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</row>
    <row r="138" ht="15.75" customHeight="1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</row>
    <row r="139" ht="15.75" customHeight="1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</row>
    <row r="140" ht="15.75" customHeight="1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</row>
    <row r="141" ht="15.75" customHeight="1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</row>
    <row r="142" ht="15.75" customHeight="1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</row>
    <row r="143" ht="15.75" customHeight="1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</row>
    <row r="144" ht="15.75" customHeight="1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</row>
    <row r="145" ht="15.75" customHeight="1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</row>
    <row r="146" ht="15.75" customHeight="1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</row>
    <row r="147" ht="15.75" customHeight="1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</row>
    <row r="148" ht="15.75" customHeight="1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</row>
    <row r="149" ht="15.75" customHeight="1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</row>
    <row r="150" ht="15.75" customHeight="1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</row>
    <row r="151" ht="15.75" customHeight="1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</row>
    <row r="152" ht="15.75" customHeight="1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</row>
    <row r="153" ht="15.75" customHeight="1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</row>
    <row r="154" ht="15.75" customHeight="1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</row>
    <row r="155" ht="15.75" customHeight="1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</row>
    <row r="156" ht="15.75" customHeight="1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</row>
    <row r="157" ht="15.75" customHeight="1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</row>
    <row r="158" ht="15.75" customHeight="1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</row>
    <row r="159" ht="15.75" customHeight="1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</row>
    <row r="160" ht="15.75" customHeight="1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</row>
    <row r="161" ht="15.75" customHeight="1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</row>
    <row r="162" ht="15.75" customHeight="1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</row>
    <row r="163" ht="15.75" customHeight="1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</row>
    <row r="164" ht="15.75" customHeight="1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</row>
    <row r="165" ht="15.75" customHeight="1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</row>
    <row r="166" ht="15.75" customHeight="1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</row>
    <row r="167" ht="15.75" customHeight="1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</row>
    <row r="168" ht="15.75" customHeight="1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</row>
    <row r="169" ht="15.75" customHeight="1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</row>
    <row r="170" ht="15.75" customHeight="1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</row>
    <row r="171" ht="15.75" customHeight="1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</row>
    <row r="172" ht="15.75" customHeight="1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</row>
    <row r="173" ht="15.75" customHeight="1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</row>
    <row r="174" ht="15.75" customHeight="1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</row>
    <row r="175" ht="15.75" customHeight="1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</row>
    <row r="176" ht="15.75" customHeight="1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</row>
    <row r="177" ht="15.75" customHeight="1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</row>
    <row r="178" ht="15.75" customHeight="1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</row>
    <row r="179" ht="15.75" customHeight="1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</row>
    <row r="180" ht="15.75" customHeight="1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</row>
    <row r="181" ht="15.75" customHeight="1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</row>
    <row r="182" ht="15.75" customHeight="1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</row>
    <row r="183" ht="15.75" customHeight="1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</row>
    <row r="184" ht="15.75" customHeight="1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</row>
    <row r="185" ht="15.75" customHeight="1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</row>
    <row r="186" ht="15.75" customHeight="1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</row>
    <row r="187" ht="15.75" customHeight="1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</row>
    <row r="188" ht="15.75" customHeight="1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</row>
    <row r="189" ht="15.75" customHeight="1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</row>
    <row r="190" ht="15.75" customHeight="1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</row>
    <row r="191" ht="15.75" customHeight="1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</row>
    <row r="192" ht="15.75" customHeight="1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</row>
    <row r="193" ht="15.75" customHeight="1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</row>
    <row r="194" ht="15.75" customHeight="1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</row>
    <row r="195" ht="15.75" customHeight="1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</row>
    <row r="196" ht="15.75" customHeight="1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</row>
    <row r="197" ht="15.75" customHeight="1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</row>
    <row r="198" ht="15.75" customHeight="1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</row>
    <row r="199" ht="15.75" customHeight="1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</row>
    <row r="200" ht="15.75" customHeight="1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</row>
    <row r="201" ht="15.75" customHeight="1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</row>
    <row r="202" ht="15.75" customHeight="1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</row>
    <row r="203" ht="15.75" customHeight="1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</row>
    <row r="204" ht="15.75" customHeight="1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</row>
    <row r="205" ht="15.75" customHeight="1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</row>
    <row r="206" ht="15.75" customHeight="1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</row>
    <row r="207" ht="15.75" customHeight="1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</row>
    <row r="208" ht="15.75" customHeight="1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</row>
    <row r="209" ht="15.75" customHeight="1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</row>
    <row r="210" ht="15.75" customHeight="1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</row>
    <row r="211" ht="15.75" customHeight="1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</row>
    <row r="212" ht="15.75" customHeight="1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</row>
    <row r="213" ht="15.75" customHeight="1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</row>
    <row r="214" ht="15.75" customHeight="1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</row>
    <row r="215" ht="15.75" customHeight="1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</row>
    <row r="216" ht="15.75" customHeight="1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</row>
    <row r="217" ht="15.75" customHeight="1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</row>
    <row r="218" ht="15.75" customHeight="1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</row>
    <row r="219" ht="15.75" customHeight="1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</row>
    <row r="220" ht="15.75" customHeight="1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</row>
    <row r="221" ht="15.75" customHeight="1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</row>
    <row r="222" ht="15.75" customHeight="1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</row>
    <row r="223" ht="15.75" customHeight="1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</row>
    <row r="224" ht="15.75" customHeight="1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</row>
    <row r="225" ht="15.75" customHeight="1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</row>
    <row r="226" ht="15.75" customHeight="1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</row>
    <row r="227" ht="15.7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</row>
    <row r="228" ht="15.7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</row>
    <row r="229" ht="15.7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</row>
    <row r="230" ht="15.7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</row>
    <row r="231" ht="15.7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</row>
    <row r="232" ht="15.7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</row>
    <row r="233" ht="15.7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</row>
    <row r="234" ht="15.7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</row>
    <row r="235" ht="15.7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</row>
    <row r="236" ht="15.7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</row>
    <row r="237" ht="15.7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</row>
    <row r="238" ht="15.7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</row>
    <row r="239" ht="15.7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</row>
    <row r="240" ht="15.7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</row>
    <row r="241" ht="15.7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</row>
    <row r="242" ht="15.7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</row>
    <row r="243" ht="15.7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</row>
    <row r="244" ht="15.7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</row>
    <row r="245" ht="15.7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</row>
    <row r="246" ht="15.7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</row>
    <row r="247" ht="15.7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</row>
    <row r="248" ht="15.7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</row>
    <row r="249" ht="15.7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</row>
    <row r="250" ht="15.7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</row>
    <row r="251" ht="15.7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</row>
    <row r="252" ht="15.7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</row>
    <row r="253" ht="15.7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</row>
    <row r="254" ht="15.7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</row>
    <row r="255" ht="15.7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</row>
    <row r="256" ht="15.7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</row>
    <row r="257" ht="15.7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</row>
    <row r="258" ht="15.7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</row>
    <row r="259" ht="15.7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</row>
    <row r="260" ht="15.7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</row>
    <row r="261" ht="15.7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</row>
    <row r="262" ht="15.7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</row>
    <row r="263" ht="15.7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</row>
    <row r="264" ht="15.7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</row>
    <row r="265" ht="15.7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</row>
    <row r="266" ht="15.7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</row>
    <row r="267" ht="15.7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</row>
    <row r="268" ht="15.7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</row>
    <row r="269" ht="15.7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</row>
    <row r="270" ht="15.7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</row>
    <row r="271" ht="15.7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</row>
    <row r="272" ht="15.7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</row>
    <row r="273" ht="15.7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</row>
    <row r="274" ht="15.7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</row>
    <row r="275" ht="15.7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</row>
    <row r="276" ht="15.7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</row>
    <row r="277" ht="15.7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</row>
    <row r="278" ht="15.7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</row>
    <row r="279" ht="15.7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</row>
    <row r="280" ht="15.7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</row>
    <row r="281" ht="15.7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</row>
    <row r="282" ht="15.7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</row>
    <row r="283" ht="15.7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</row>
    <row r="284" ht="15.7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</row>
    <row r="285" ht="15.7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</row>
    <row r="286" ht="15.7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</row>
    <row r="287" ht="15.7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</row>
    <row r="288" ht="15.7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</row>
    <row r="289" ht="15.7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</row>
    <row r="290" ht="15.7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</row>
    <row r="291" ht="15.7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</row>
    <row r="292" ht="15.7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</row>
    <row r="293" ht="15.7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</row>
    <row r="294" ht="15.7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</row>
    <row r="295" ht="15.7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</row>
    <row r="296" ht="15.7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</row>
    <row r="297" ht="15.7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</row>
    <row r="298" ht="15.7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</row>
    <row r="299" ht="15.7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</row>
    <row r="300" ht="15.7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</row>
    <row r="301" ht="15.7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</row>
    <row r="302" ht="15.7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</row>
    <row r="303" ht="15.7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</row>
    <row r="304" ht="15.7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</row>
    <row r="305" ht="15.7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</row>
    <row r="306" ht="15.7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</row>
    <row r="307" ht="15.7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</row>
    <row r="308" ht="15.7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</row>
    <row r="309" ht="15.7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</row>
    <row r="310" ht="15.7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</row>
    <row r="311" ht="15.7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</row>
    <row r="312" ht="15.7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</row>
    <row r="313" ht="15.7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</row>
    <row r="314" ht="15.7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</row>
    <row r="315" ht="15.7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</row>
    <row r="316" ht="15.7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</row>
    <row r="317" ht="15.7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</row>
    <row r="318" ht="15.7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</row>
    <row r="319" ht="15.7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</row>
    <row r="320" ht="15.7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</row>
    <row r="321" ht="15.7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</row>
    <row r="322" ht="15.7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</row>
    <row r="323" ht="15.7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</row>
    <row r="324" ht="15.7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</row>
    <row r="325" ht="15.7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</row>
    <row r="326" ht="15.7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</row>
    <row r="327" ht="15.7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</row>
    <row r="328" ht="15.7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</row>
    <row r="329" ht="15.7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</row>
    <row r="330" ht="15.7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</row>
    <row r="331" ht="15.7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</row>
    <row r="332" ht="15.7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</row>
    <row r="333" ht="15.7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</row>
    <row r="334" ht="15.7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</row>
    <row r="335" ht="15.7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</row>
    <row r="336" ht="15.7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</row>
    <row r="337" ht="15.7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</row>
    <row r="338" ht="15.7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</row>
    <row r="339" ht="15.7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</row>
    <row r="340" ht="15.7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</row>
    <row r="341" ht="15.7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</row>
    <row r="342" ht="15.7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</row>
    <row r="343" ht="15.7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</row>
    <row r="344" ht="15.7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</row>
    <row r="345" ht="15.7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</row>
    <row r="346" ht="15.7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</row>
    <row r="347" ht="15.7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</row>
    <row r="348" ht="15.7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</row>
    <row r="349" ht="15.7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</row>
    <row r="350" ht="15.7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</row>
    <row r="351" ht="15.7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</row>
    <row r="352" ht="15.7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</row>
    <row r="353" ht="15.7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</row>
    <row r="354" ht="15.7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</row>
    <row r="355" ht="15.7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</row>
    <row r="356" ht="15.7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</row>
    <row r="357" ht="15.7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</row>
    <row r="358" ht="15.7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</row>
    <row r="359" ht="15.7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</row>
    <row r="360" ht="15.7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</row>
    <row r="361" ht="15.7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</row>
    <row r="362" ht="15.7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</row>
    <row r="363" ht="15.7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</row>
    <row r="364" ht="15.7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</row>
    <row r="365" ht="15.7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</row>
    <row r="366" ht="15.7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</row>
    <row r="367" ht="15.7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</row>
    <row r="368" ht="15.7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</row>
    <row r="369" ht="15.7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</row>
    <row r="370" ht="15.7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</row>
    <row r="371" ht="15.7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</row>
    <row r="372" ht="15.7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</row>
    <row r="373" ht="15.7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</row>
    <row r="374" ht="15.7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</row>
    <row r="375" ht="15.7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</row>
    <row r="376" ht="15.7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</row>
    <row r="377" ht="15.7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</row>
    <row r="378" ht="15.7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</row>
    <row r="379" ht="15.7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</row>
    <row r="380" ht="15.7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</row>
    <row r="381" ht="15.7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</row>
    <row r="382" ht="15.7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</row>
    <row r="383" ht="15.7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</row>
    <row r="384" ht="15.7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</row>
    <row r="385" ht="15.7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</row>
    <row r="386" ht="15.7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</row>
    <row r="387" ht="15.7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</row>
    <row r="388" ht="15.7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</row>
    <row r="389" ht="15.7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</row>
    <row r="390" ht="15.7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</row>
    <row r="391" ht="15.7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</row>
    <row r="392" ht="15.7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</row>
    <row r="393" ht="15.7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</row>
    <row r="394" ht="15.7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</row>
    <row r="395" ht="15.7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</row>
    <row r="396" ht="15.7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</row>
    <row r="397" ht="15.7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</row>
    <row r="398" ht="15.7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</row>
    <row r="399" ht="15.7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</row>
    <row r="400" ht="15.7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</row>
    <row r="401" ht="15.7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</row>
    <row r="402" ht="15.7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</row>
    <row r="403" ht="15.7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</row>
    <row r="404" ht="15.7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</row>
    <row r="405" ht="15.7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</row>
    <row r="406" ht="15.7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</row>
    <row r="407" ht="15.7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</row>
    <row r="408" ht="15.7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</row>
    <row r="409" ht="15.7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</row>
    <row r="410" ht="15.7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</row>
    <row r="411" ht="15.7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</row>
    <row r="412" ht="15.7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</row>
    <row r="413" ht="15.7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</row>
    <row r="414" ht="15.7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</row>
    <row r="415" ht="15.7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</row>
    <row r="416" ht="15.7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</row>
    <row r="417" ht="15.7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</row>
    <row r="418" ht="15.7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</row>
    <row r="419" ht="15.7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</row>
    <row r="420" ht="15.7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</row>
    <row r="421" ht="15.7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</row>
    <row r="422" ht="15.7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</row>
    <row r="423" ht="15.7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</row>
    <row r="424" ht="15.7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</row>
    <row r="425" ht="15.7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</row>
    <row r="426" ht="15.7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</row>
    <row r="427" ht="15.7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</row>
    <row r="428" ht="15.7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</row>
    <row r="429" ht="15.7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</row>
    <row r="430" ht="15.7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</row>
    <row r="431" ht="15.7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</row>
    <row r="432" ht="15.7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</row>
    <row r="433" ht="15.7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</row>
    <row r="434" ht="15.7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</row>
    <row r="435" ht="15.7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</row>
    <row r="436" ht="15.7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</row>
    <row r="437" ht="15.7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</row>
    <row r="438" ht="15.7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</row>
    <row r="439" ht="15.7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</row>
    <row r="440" ht="15.7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</row>
    <row r="441" ht="15.7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</row>
    <row r="442" ht="15.7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</row>
    <row r="443" ht="15.7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</row>
    <row r="444" ht="15.7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</row>
    <row r="445" ht="15.7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</row>
    <row r="446" ht="15.7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</row>
    <row r="447" ht="15.7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</row>
    <row r="448" ht="15.7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</row>
    <row r="449" ht="15.7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</row>
    <row r="450" ht="15.7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</row>
    <row r="451" ht="15.7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</row>
    <row r="452" ht="15.7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</row>
    <row r="453" ht="15.7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</row>
    <row r="454" ht="15.7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</row>
    <row r="455" ht="15.7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</row>
    <row r="456" ht="15.7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</row>
    <row r="457" ht="15.7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</row>
    <row r="458" ht="15.7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</row>
    <row r="459" ht="15.7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</row>
    <row r="460" ht="15.7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</row>
    <row r="461" ht="15.7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</row>
    <row r="462" ht="15.7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</row>
    <row r="463" ht="15.7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</row>
    <row r="464" ht="15.7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</row>
    <row r="465" ht="15.7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</row>
    <row r="466" ht="15.7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</row>
    <row r="467" ht="15.7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</row>
    <row r="468" ht="15.7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</row>
    <row r="469" ht="15.7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</row>
    <row r="470" ht="15.7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</row>
    <row r="471" ht="15.7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</row>
    <row r="472" ht="15.7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</row>
    <row r="473" ht="15.7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</row>
    <row r="474" ht="15.7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</row>
    <row r="475" ht="15.7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</row>
    <row r="476" ht="15.7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</row>
    <row r="477" ht="15.7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</row>
    <row r="478" ht="15.7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</row>
    <row r="479" ht="15.7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</row>
    <row r="480" ht="15.7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</row>
    <row r="481" ht="15.7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</row>
    <row r="482" ht="15.7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</row>
    <row r="483" ht="15.7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</row>
    <row r="484" ht="15.7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</row>
    <row r="485" ht="15.7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</row>
    <row r="486" ht="15.7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</row>
    <row r="487" ht="15.7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</row>
    <row r="488" ht="15.7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</row>
    <row r="489" ht="15.7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</row>
    <row r="490" ht="15.7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</row>
    <row r="491" ht="15.7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</row>
    <row r="492" ht="15.7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</row>
    <row r="493" ht="15.7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</row>
    <row r="494" ht="15.7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</row>
    <row r="495" ht="15.7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</row>
    <row r="496" ht="15.7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</row>
    <row r="497" ht="15.7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</row>
    <row r="498" ht="15.7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</row>
    <row r="499" ht="15.7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</row>
    <row r="500" ht="15.7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</row>
    <row r="501" ht="15.7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</row>
    <row r="502" ht="15.7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</row>
    <row r="503" ht="15.7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</row>
    <row r="504" ht="15.7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</row>
    <row r="505" ht="15.7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</row>
    <row r="506" ht="15.7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</row>
    <row r="507" ht="15.7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</row>
    <row r="508" ht="15.7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</row>
    <row r="509" ht="15.7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</row>
    <row r="510" ht="15.7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</row>
    <row r="511" ht="15.7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</row>
    <row r="512" ht="15.7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</row>
    <row r="513" ht="15.7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</row>
    <row r="514" ht="15.7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</row>
    <row r="515" ht="15.7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</row>
    <row r="516" ht="15.7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</row>
    <row r="517" ht="15.7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</row>
    <row r="518" ht="15.7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</row>
    <row r="519" ht="15.7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</row>
    <row r="520" ht="15.7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</row>
    <row r="521" ht="15.7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</row>
    <row r="522" ht="15.7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</row>
    <row r="523" ht="15.7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</row>
    <row r="524" ht="15.7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</row>
    <row r="525" ht="15.7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</row>
    <row r="526" ht="15.7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</row>
    <row r="527" ht="15.7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</row>
    <row r="528" ht="15.7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</row>
    <row r="529" ht="15.7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</row>
    <row r="530" ht="15.7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</row>
    <row r="531" ht="15.7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</row>
    <row r="532" ht="15.7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</row>
    <row r="533" ht="15.7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</row>
    <row r="534" ht="15.7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</row>
    <row r="535" ht="15.7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</row>
    <row r="536" ht="15.7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</row>
    <row r="537" ht="15.7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</row>
    <row r="538" ht="15.7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</row>
    <row r="539" ht="15.7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</row>
    <row r="540" ht="15.7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</row>
    <row r="541" ht="15.7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</row>
    <row r="542" ht="15.7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</row>
    <row r="543" ht="15.7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</row>
    <row r="544" ht="15.7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</row>
    <row r="545" ht="15.7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</row>
    <row r="546" ht="15.7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</row>
    <row r="547" ht="15.7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</row>
    <row r="548" ht="15.7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</row>
    <row r="549" ht="15.7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</row>
    <row r="550" ht="15.7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</row>
    <row r="551" ht="15.7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</row>
    <row r="552" ht="15.7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</row>
    <row r="553" ht="15.7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</row>
    <row r="554" ht="15.7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</row>
    <row r="555" ht="15.7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</row>
    <row r="556" ht="15.7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</row>
    <row r="557" ht="15.7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</row>
    <row r="558" ht="15.7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</row>
    <row r="559" ht="15.7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</row>
    <row r="560" ht="15.7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</row>
    <row r="561" ht="15.7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</row>
    <row r="562" ht="15.7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</row>
    <row r="563" ht="15.7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</row>
    <row r="564" ht="15.7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</row>
    <row r="565" ht="15.7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</row>
    <row r="566" ht="15.7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</row>
    <row r="567" ht="15.7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</row>
    <row r="568" ht="15.7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</row>
    <row r="569" ht="15.7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</row>
    <row r="570" ht="15.7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</row>
    <row r="571" ht="15.7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</row>
    <row r="572" ht="15.7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</row>
    <row r="573" ht="15.7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</row>
    <row r="574" ht="15.7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</row>
    <row r="575" ht="15.7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</row>
    <row r="576" ht="15.7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</row>
    <row r="577" ht="15.7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</row>
    <row r="578" ht="15.7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</row>
    <row r="579" ht="15.7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</row>
    <row r="580" ht="15.7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</row>
    <row r="581" ht="15.7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</row>
    <row r="582" ht="15.7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</row>
    <row r="583" ht="15.7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</row>
    <row r="584" ht="15.7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</row>
    <row r="585" ht="15.7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</row>
    <row r="586" ht="15.7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</row>
    <row r="587" ht="15.7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</row>
    <row r="588" ht="15.7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</row>
    <row r="589" ht="15.7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</row>
    <row r="590" ht="15.7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</row>
    <row r="591" ht="15.7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</row>
    <row r="592" ht="15.7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</row>
    <row r="593" ht="15.7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</row>
    <row r="594" ht="15.7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</row>
    <row r="595" ht="15.7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</row>
    <row r="596" ht="15.7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</row>
    <row r="597" ht="15.7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</row>
    <row r="598" ht="15.7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</row>
    <row r="599" ht="15.7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</row>
    <row r="600" ht="15.7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</row>
    <row r="601" ht="15.7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</row>
    <row r="602" ht="15.7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</row>
    <row r="603" ht="15.7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</row>
    <row r="604" ht="15.7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</row>
    <row r="605" ht="15.7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</row>
    <row r="606" ht="15.7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</row>
    <row r="607" ht="15.7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</row>
    <row r="608" ht="15.7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</row>
    <row r="609" ht="15.7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</row>
    <row r="610" ht="15.7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</row>
    <row r="611" ht="15.7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</row>
    <row r="612" ht="15.7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</row>
    <row r="613" ht="15.7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</row>
    <row r="614" ht="15.7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</row>
    <row r="615" ht="15.7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</row>
    <row r="616" ht="15.7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</row>
    <row r="617" ht="15.7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</row>
    <row r="618" ht="15.7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</row>
    <row r="619" ht="15.7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</row>
    <row r="620" ht="15.7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</row>
    <row r="621" ht="15.7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</row>
    <row r="622" ht="15.7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</row>
    <row r="623" ht="15.7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</row>
    <row r="624" ht="15.7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</row>
    <row r="625" ht="15.7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</row>
    <row r="626" ht="15.7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</row>
    <row r="627" ht="15.7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</row>
    <row r="628" ht="15.7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</row>
    <row r="629" ht="15.7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</row>
    <row r="630" ht="15.7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</row>
    <row r="631" ht="15.7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</row>
    <row r="632" ht="15.7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</row>
    <row r="633" ht="15.7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</row>
    <row r="634" ht="15.7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</row>
    <row r="635" ht="15.7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</row>
    <row r="636" ht="15.7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</row>
    <row r="637" ht="15.7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</row>
    <row r="638" ht="15.7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</row>
    <row r="639" ht="15.7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</row>
    <row r="640" ht="15.7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</row>
    <row r="641" ht="15.7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</row>
    <row r="642" ht="15.7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</row>
    <row r="643" ht="15.7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</row>
    <row r="644" ht="15.7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</row>
    <row r="645" ht="15.7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</row>
    <row r="646" ht="15.7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</row>
    <row r="647" ht="15.7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</row>
    <row r="648" ht="15.7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</row>
    <row r="649" ht="15.7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</row>
    <row r="650" ht="15.7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</row>
    <row r="651" ht="15.7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</row>
    <row r="652" ht="15.7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</row>
    <row r="653" ht="15.7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</row>
    <row r="654" ht="15.7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</row>
    <row r="655" ht="15.7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</row>
    <row r="656" ht="15.7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</row>
    <row r="657" ht="15.7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</row>
    <row r="658" ht="15.7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</row>
    <row r="659" ht="15.7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</row>
    <row r="660" ht="15.7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</row>
    <row r="661" ht="15.7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</row>
    <row r="662" ht="15.7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</row>
    <row r="663" ht="15.7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</row>
    <row r="664" ht="15.7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</row>
    <row r="665" ht="15.7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</row>
    <row r="666" ht="15.7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</row>
    <row r="667" ht="15.7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</row>
    <row r="668" ht="15.7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</row>
    <row r="669" ht="15.7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</row>
    <row r="670" ht="15.7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</row>
    <row r="671" ht="15.7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</row>
    <row r="672" ht="15.7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</row>
    <row r="673" ht="15.7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</row>
    <row r="674" ht="15.7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</row>
    <row r="675" ht="15.7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</row>
    <row r="676" ht="15.7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</row>
    <row r="677" ht="15.7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</row>
    <row r="678" ht="15.7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</row>
    <row r="679" ht="15.7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</row>
    <row r="680" ht="15.7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</row>
    <row r="681" ht="15.7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</row>
    <row r="682" ht="15.7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</row>
    <row r="683" ht="15.7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</row>
    <row r="684" ht="15.7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</row>
    <row r="685" ht="15.7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</row>
    <row r="686" ht="15.7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</row>
    <row r="687" ht="15.7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</row>
    <row r="688" ht="15.7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</row>
    <row r="689" ht="15.7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</row>
    <row r="690" ht="15.7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</row>
    <row r="691" ht="15.7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</row>
    <row r="692" ht="15.7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</row>
    <row r="693" ht="15.7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</row>
    <row r="694" ht="15.7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</row>
    <row r="695" ht="15.7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</row>
    <row r="696" ht="15.7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</row>
    <row r="697" ht="15.7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</row>
    <row r="698" ht="15.7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</row>
    <row r="699" ht="15.7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</row>
    <row r="700" ht="15.7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</row>
    <row r="701" ht="15.7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</row>
    <row r="702" ht="15.7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</row>
    <row r="703" ht="15.7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</row>
    <row r="704" ht="15.7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</row>
    <row r="705" ht="15.7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</row>
    <row r="706" ht="15.7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</row>
    <row r="707" ht="15.7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</row>
    <row r="708" ht="15.7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</row>
    <row r="709" ht="15.7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</row>
    <row r="710" ht="15.7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</row>
    <row r="711" ht="15.7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</row>
    <row r="712" ht="15.7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</row>
    <row r="713" ht="15.7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</row>
    <row r="714" ht="15.7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</row>
    <row r="715" ht="15.7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</row>
    <row r="716" ht="15.7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</row>
    <row r="717" ht="15.7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</row>
    <row r="718" ht="15.7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</row>
    <row r="719" ht="15.7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</row>
    <row r="720" ht="15.7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</row>
    <row r="721" ht="15.7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</row>
    <row r="722" ht="15.7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</row>
    <row r="723" ht="15.7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</row>
    <row r="724" ht="15.7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</row>
    <row r="725" ht="15.7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</row>
    <row r="726" ht="15.7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</row>
    <row r="727" ht="15.7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</row>
    <row r="728" ht="15.7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</row>
    <row r="729" ht="15.7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</row>
    <row r="730" ht="15.7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</row>
    <row r="731" ht="15.7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</row>
    <row r="732" ht="15.7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</row>
    <row r="733" ht="15.7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</row>
    <row r="734" ht="15.7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</row>
    <row r="735" ht="15.7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</row>
    <row r="736" ht="15.7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</row>
    <row r="737" ht="15.7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</row>
    <row r="738" ht="15.7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</row>
    <row r="739" ht="15.7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</row>
    <row r="740" ht="15.7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</row>
    <row r="741" ht="15.7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</row>
    <row r="742" ht="15.7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</row>
    <row r="743" ht="15.7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</row>
    <row r="744" ht="15.7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</row>
    <row r="745" ht="15.7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</row>
    <row r="746" ht="15.7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</row>
    <row r="747" ht="15.7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</row>
    <row r="748" ht="15.7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</row>
    <row r="749" ht="15.7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</row>
    <row r="750" ht="15.7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</row>
    <row r="751" ht="15.7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</row>
    <row r="752" ht="15.7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</row>
    <row r="753" ht="15.7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</row>
    <row r="754" ht="15.7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</row>
    <row r="755" ht="15.7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</row>
    <row r="756" ht="15.7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</row>
    <row r="757" ht="15.7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</row>
    <row r="758" ht="15.7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</row>
    <row r="759" ht="15.7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</row>
    <row r="760" ht="15.7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</row>
    <row r="761" ht="15.7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</row>
    <row r="762" ht="15.7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</row>
    <row r="763" ht="15.7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</row>
    <row r="764" ht="15.7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</row>
    <row r="765" ht="15.7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</row>
    <row r="766" ht="15.7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</row>
    <row r="767" ht="15.7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</row>
    <row r="768" ht="15.7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</row>
    <row r="769" ht="15.7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</row>
    <row r="770" ht="15.7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</row>
    <row r="771" ht="15.7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</row>
    <row r="772" ht="15.7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</row>
    <row r="773" ht="15.7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</row>
    <row r="774" ht="15.7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</row>
    <row r="775" ht="15.7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</row>
    <row r="776" ht="15.7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</row>
    <row r="777" ht="15.7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</row>
    <row r="778" ht="15.7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</row>
    <row r="779" ht="15.7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</row>
    <row r="780" ht="15.7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</row>
    <row r="781" ht="15.7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</row>
    <row r="782" ht="15.7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</row>
    <row r="783" ht="15.7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</row>
    <row r="784" ht="15.7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</row>
    <row r="785" ht="15.7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</row>
    <row r="786" ht="15.7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</row>
    <row r="787" ht="15.7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</row>
    <row r="788" ht="15.7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</row>
    <row r="789" ht="15.7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</row>
    <row r="790" ht="15.7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</row>
    <row r="791" ht="15.7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</row>
    <row r="792" ht="15.7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</row>
    <row r="793" ht="15.7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</row>
    <row r="794" ht="15.7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</row>
    <row r="795" ht="15.7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</row>
    <row r="796" ht="15.7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</row>
    <row r="797" ht="15.7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</row>
    <row r="798" ht="15.7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</row>
    <row r="799" ht="15.7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</row>
    <row r="800" ht="15.7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</row>
    <row r="801" ht="15.7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</row>
    <row r="802" ht="15.7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</row>
    <row r="803" ht="15.7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</row>
    <row r="804" ht="15.7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</row>
    <row r="805" ht="15.7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</row>
    <row r="806" ht="15.7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</row>
    <row r="807" ht="15.7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</row>
    <row r="808" ht="15.7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</row>
    <row r="809" ht="15.7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</row>
    <row r="810" ht="15.7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</row>
    <row r="811" ht="15.7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</row>
    <row r="812" ht="15.7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</row>
    <row r="813" ht="15.7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</row>
    <row r="814" ht="15.7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</row>
    <row r="815" ht="15.7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</row>
    <row r="816" ht="15.7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</row>
    <row r="817" ht="15.7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</row>
    <row r="818" ht="15.7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</row>
    <row r="819" ht="15.7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</row>
    <row r="820" ht="15.7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</row>
    <row r="821" ht="15.7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</row>
    <row r="822" ht="15.7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</row>
    <row r="823" ht="15.7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</row>
    <row r="824" ht="15.7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</row>
    <row r="825" ht="15.7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</row>
    <row r="826" ht="15.7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</row>
    <row r="827" ht="15.7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</row>
    <row r="828" ht="15.7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</row>
    <row r="829" ht="15.7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</row>
    <row r="830" ht="15.7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</row>
    <row r="831" ht="15.7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</row>
    <row r="832" ht="15.7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</row>
    <row r="833" ht="15.7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</row>
    <row r="834" ht="15.7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</row>
    <row r="835" ht="15.7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</row>
    <row r="836" ht="15.7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</row>
    <row r="837" ht="15.7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</row>
    <row r="838" ht="15.7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</row>
    <row r="839" ht="15.7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</row>
    <row r="840" ht="15.7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</row>
    <row r="841" ht="15.7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</row>
    <row r="842" ht="15.7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</row>
    <row r="843" ht="15.7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</row>
    <row r="844" ht="15.7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</row>
    <row r="845" ht="15.7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</row>
    <row r="846" ht="15.7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</row>
    <row r="847" ht="15.7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</row>
    <row r="848" ht="15.7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</row>
    <row r="849" ht="15.7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</row>
    <row r="850" ht="15.7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</row>
    <row r="851" ht="15.7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</row>
    <row r="852" ht="15.7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</row>
    <row r="853" ht="15.7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</row>
    <row r="854" ht="15.7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</row>
    <row r="855" ht="15.7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</row>
    <row r="856" ht="15.7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</row>
    <row r="857" ht="15.7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</row>
    <row r="858" ht="15.7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</row>
    <row r="859" ht="15.7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</row>
    <row r="860" ht="15.7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</row>
    <row r="861" ht="15.7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</row>
    <row r="862" ht="15.7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</row>
    <row r="863" ht="15.7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</row>
    <row r="864" ht="15.7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</row>
    <row r="865" ht="15.7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</row>
    <row r="866" ht="15.7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</row>
    <row r="867" ht="15.7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</row>
    <row r="868" ht="15.7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</row>
    <row r="869" ht="15.7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</row>
    <row r="870" ht="15.7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</row>
    <row r="871" ht="15.7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</row>
    <row r="872" ht="15.7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</row>
    <row r="873" ht="15.7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</row>
    <row r="874" ht="15.7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</row>
    <row r="875" ht="15.7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</row>
    <row r="876" ht="15.7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</row>
    <row r="877" ht="15.7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</row>
    <row r="878" ht="15.7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</row>
    <row r="879" ht="15.7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</row>
    <row r="880" ht="15.7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</row>
    <row r="881" ht="15.7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</row>
    <row r="882" ht="15.7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</row>
    <row r="883" ht="15.7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</row>
    <row r="884" ht="15.7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</row>
    <row r="885" ht="15.7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</row>
    <row r="886" ht="15.7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</row>
    <row r="887" ht="15.7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</row>
    <row r="888" ht="15.7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</row>
    <row r="889" ht="15.7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</row>
    <row r="890" ht="15.7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</row>
    <row r="891" ht="15.7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</row>
    <row r="892" ht="15.7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</row>
    <row r="893" ht="15.7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</row>
    <row r="894" ht="15.7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</row>
    <row r="895" ht="15.7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</row>
    <row r="896" ht="15.7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</row>
    <row r="897" ht="15.7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</row>
    <row r="898" ht="15.7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</row>
    <row r="899" ht="15.7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</row>
    <row r="900" ht="15.7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</row>
    <row r="901" ht="15.7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</row>
    <row r="902" ht="15.7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</row>
    <row r="903" ht="15.7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</row>
    <row r="904" ht="15.7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</row>
    <row r="905" ht="15.7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</row>
    <row r="906" ht="15.7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</row>
    <row r="907" ht="15.7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</row>
    <row r="908" ht="15.7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</row>
    <row r="909" ht="15.7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</row>
    <row r="910" ht="15.7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</row>
    <row r="911" ht="15.7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</row>
    <row r="912" ht="15.7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</row>
    <row r="913" ht="15.7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</row>
    <row r="914" ht="15.7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</row>
    <row r="915" ht="15.7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</row>
    <row r="916" ht="15.7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</row>
    <row r="917" ht="15.7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</row>
    <row r="918" ht="15.7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</row>
    <row r="919" ht="15.7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</row>
    <row r="920" ht="15.7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</row>
    <row r="921" ht="15.7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</row>
    <row r="922" ht="15.7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</row>
    <row r="923" ht="15.7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</row>
    <row r="924" ht="15.7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</row>
    <row r="925" ht="15.7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</row>
    <row r="926" ht="15.7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</row>
    <row r="927" ht="15.7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</row>
    <row r="928" ht="15.7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</row>
    <row r="929" ht="15.7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</row>
    <row r="930" ht="15.7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</row>
    <row r="931" ht="15.7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</row>
    <row r="932" ht="15.7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</row>
    <row r="933" ht="15.7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</row>
    <row r="934" ht="15.7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</row>
    <row r="935" ht="15.7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</row>
    <row r="936" ht="15.7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</row>
    <row r="937" ht="15.7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</row>
    <row r="938" ht="15.7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</row>
    <row r="939" ht="15.7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</row>
    <row r="940" ht="15.7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</row>
    <row r="941" ht="15.7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</row>
    <row r="942" ht="15.7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</row>
    <row r="943" ht="15.7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</row>
    <row r="944" ht="15.7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</row>
    <row r="945" ht="15.7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</row>
    <row r="946" ht="15.7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</row>
    <row r="947" ht="15.7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</row>
    <row r="948" ht="15.7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</row>
    <row r="949" ht="15.7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</row>
    <row r="950" ht="15.7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</row>
    <row r="951" ht="15.7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</row>
    <row r="952" ht="15.7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</row>
    <row r="953" ht="15.7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</row>
    <row r="954" ht="15.7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</row>
    <row r="955" ht="15.7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</row>
    <row r="956" ht="15.7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</row>
    <row r="957" ht="15.7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</row>
    <row r="958" ht="15.7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</row>
    <row r="959" ht="15.7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</row>
    <row r="960" ht="15.7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</row>
    <row r="961" ht="15.7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</row>
    <row r="962" ht="15.7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</row>
    <row r="963" ht="15.7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</row>
    <row r="964" ht="15.7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</row>
    <row r="965" ht="15.7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</row>
    <row r="966" ht="15.7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</row>
    <row r="967" ht="15.7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</row>
    <row r="968" ht="15.7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</row>
    <row r="969" ht="15.7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</row>
    <row r="970" ht="15.7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</row>
    <row r="971" ht="15.7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</row>
    <row r="972" ht="15.7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</row>
    <row r="973" ht="15.7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</row>
    <row r="974" ht="15.7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</row>
    <row r="975" ht="15.7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</row>
    <row r="976" ht="15.7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</row>
    <row r="977" ht="15.7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</row>
    <row r="978" ht="15.7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</row>
    <row r="979" ht="15.7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</row>
    <row r="980" ht="15.7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</row>
    <row r="981" ht="15.7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</row>
    <row r="982" ht="15.7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</row>
    <row r="983" ht="15.7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</row>
    <row r="984" ht="15.7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</row>
    <row r="985" ht="15.7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</row>
    <row r="986" ht="15.7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</row>
    <row r="987" ht="15.7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</row>
    <row r="988" ht="15.7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</row>
    <row r="989" ht="15.7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</row>
    <row r="990" ht="15.7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</row>
    <row r="991" ht="15.7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</row>
    <row r="992" ht="15.7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</row>
    <row r="993" ht="15.7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</row>
    <row r="994" ht="15.7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</row>
    <row r="995" ht="15.7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</row>
    <row r="996" ht="15.7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</row>
    <row r="997" ht="15.7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</row>
    <row r="998" ht="15.7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</row>
    <row r="999" ht="15.7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</row>
  </sheetData>
  <mergeCells count="1">
    <mergeCell ref="A1:T1"/>
  </mergeCells>
  <conditionalFormatting sqref="A3:A86">
    <cfRule type="expression" dxfId="5" priority="1">
      <formula>A3="18/08/2026"</formula>
    </cfRule>
  </conditionalFormatting>
  <conditionalFormatting sqref="A3:A86">
    <cfRule type="expression" dxfId="6" priority="2">
      <formula>A3="19/08/2026"</formula>
    </cfRule>
  </conditionalFormatting>
  <conditionalFormatting sqref="P3:P86">
    <cfRule type="expression" dxfId="7" priority="3">
      <formula>P3="true"</formula>
    </cfRule>
  </conditionalFormatting>
  <conditionalFormatting sqref="P3:P86">
    <cfRule type="expression" dxfId="8" priority="4">
      <formula>P3="false"</formula>
    </cfRule>
  </conditionalFormatting>
  <conditionalFormatting sqref="Q3:Q86">
    <cfRule type="expression" dxfId="9" priority="5">
      <formula>Q3="SIM"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40.0"/>
    <col customWidth="1" min="2" max="2" width="23.0"/>
    <col customWidth="1" min="3" max="3" width="30.0"/>
    <col customWidth="1" min="4" max="4" width="25.0"/>
    <col customWidth="1" min="5" max="5" width="52.0"/>
    <col customWidth="1" min="6" max="6" width="34.0"/>
    <col customWidth="1" min="7" max="26" width="8.63"/>
  </cols>
  <sheetData>
    <row r="1">
      <c r="A1" s="1" t="s">
        <v>0</v>
      </c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>
      <c r="A3" s="3" t="s">
        <v>1</v>
      </c>
      <c r="B3" s="3" t="s">
        <v>2</v>
      </c>
      <c r="C3" s="2"/>
      <c r="D3" s="3" t="s">
        <v>3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>
      <c r="A4" s="2" t="s">
        <v>4</v>
      </c>
      <c r="B4" s="2">
        <f>COUNTA(Base_Unificada!C3:C86)</f>
        <v>84</v>
      </c>
      <c r="C4" s="2"/>
      <c r="D4" s="4" t="s">
        <v>5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>
      <c r="A5" s="2" t="s">
        <v>7</v>
      </c>
      <c r="B5" s="2">
        <f>COUNTIF(Base_Unificada!A3:A86,"18/08/2026")</f>
        <v>18</v>
      </c>
      <c r="C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>
      <c r="A6" s="2" t="s">
        <v>11</v>
      </c>
      <c r="B6" s="2">
        <f>COUNTIF(Base_Unificada!A3:A86,"19/08/2026")</f>
        <v>66</v>
      </c>
      <c r="C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>
      <c r="A7" s="2" t="s">
        <v>15</v>
      </c>
      <c r="B7" s="2">
        <f>COUNTA(Grupos_Cruzados!A4:A7)</f>
        <v>1</v>
      </c>
      <c r="C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>
      <c r="A8" s="2" t="s">
        <v>21</v>
      </c>
      <c r="B8" s="2">
        <f>COUNTIF(Base_Unificada!Q3:Q86,"SIM")</f>
        <v>13</v>
      </c>
      <c r="C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>
      <c r="A9" s="2" t="s">
        <v>28</v>
      </c>
      <c r="B9" s="2">
        <v>2.0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>
      <c r="A10" s="2" t="s">
        <v>31</v>
      </c>
      <c r="B10" s="2">
        <v>2.0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>
      <c r="A12" s="8" t="s">
        <v>36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>
      <c r="A13" s="9" t="s">
        <v>40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>
      <c r="A18" s="10" t="s">
        <v>49</v>
      </c>
      <c r="B18" s="10" t="s">
        <v>51</v>
      </c>
      <c r="C18" s="10" t="s">
        <v>52</v>
      </c>
      <c r="D18" s="10" t="s">
        <v>54</v>
      </c>
      <c r="E18" s="10" t="s">
        <v>55</v>
      </c>
      <c r="F18" s="10" t="s">
        <v>56</v>
      </c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33.75" customHeight="1">
      <c r="A19" s="11" t="s">
        <v>61</v>
      </c>
      <c r="B19" s="11" t="s">
        <v>62</v>
      </c>
      <c r="C19" s="11" t="s">
        <v>63</v>
      </c>
      <c r="D19" s="11" t="s">
        <v>64</v>
      </c>
      <c r="E19" s="11" t="s">
        <v>65</v>
      </c>
      <c r="F19" s="11" t="s">
        <v>66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33.75" customHeight="1">
      <c r="A20" s="11" t="s">
        <v>68</v>
      </c>
      <c r="B20" s="11" t="s">
        <v>69</v>
      </c>
      <c r="C20" s="11" t="s">
        <v>70</v>
      </c>
      <c r="D20" s="11" t="s">
        <v>71</v>
      </c>
      <c r="E20" s="11" t="s">
        <v>65</v>
      </c>
      <c r="F20" s="11" t="s">
        <v>66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5.7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5.7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5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5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5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5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5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5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5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5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5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5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5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5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5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5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5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5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5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5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5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5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5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5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5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5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5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5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5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5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5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5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5.7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5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5.7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5.7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5.7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5.7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5.7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5.7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5.7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5.7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5.7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5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5.7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5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5.7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5.7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5.7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5.7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5.7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5.7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5.7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5.7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5.7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5.7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5.7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5.7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5.7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5.7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5.7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5.7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5.7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5.7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5.7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5.7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5.7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5.7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5.7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5.7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5.7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5.7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5.7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5.7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5.7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5.7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5.7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5.7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5.7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5.7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5.7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5.7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5.7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5.7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5.7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5.7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5.7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5.7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5.7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5.7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5.7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5.7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5.7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5.7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5.7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5.7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5.7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5.7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5.7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5.7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5.7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5.7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5.7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5.7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5.7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5.7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5.7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5.7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5.7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5.7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5.7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5.7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5.7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5.7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5.7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5.7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5.7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5.7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5.7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5.7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5.7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5.7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5.7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5.7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5.7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5.7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5.7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5.7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5.7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5.7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5.7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5.7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5.7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5.7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5.7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5.7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5.7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5.7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5.7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5.7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5.7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5.7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5.7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5.7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5.7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5.7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5.7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5.7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5.7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5.7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5.7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5.7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5.7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5.7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5.7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5.7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5.7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5.7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5.7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5.7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5.7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5.7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5.7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5.7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5.7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5.7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5.7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5.7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5.7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5.7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5.7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5.7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5.7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5.7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5.7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5.7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5.7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5.7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5.7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5.7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5.7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5.7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5.7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5.7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5.7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5.7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5.7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5.7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5.7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5.7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5.7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5.7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5.7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5.7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5.7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5.7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5.7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5.7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5.7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5.7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5.7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5.7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5.7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5.7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5.7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5.7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5.7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5.7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5.7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5.7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5.7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5.7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5.7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5.7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5.7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5.7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5.7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5.7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5.7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5.7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5.7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5.7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5.7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5.7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5.7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5.7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5.7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5.7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5.7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5.7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5.7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5.7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5.7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5.7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5.7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5.7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5.7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5.7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5.7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5.7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5.7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5.7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5.7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5.7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5.7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5.7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5.7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5.7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5.7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5.7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5.7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5.7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5.7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5.7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5.7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5.7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5.7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5.7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5.7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5.7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5.7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5.7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5.7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5.7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5.7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5.7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5.7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5.7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5.7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5.7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5.7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5.7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5.7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5.7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5.7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5.7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5.7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5.7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5.7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5.7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5.7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5.7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5.7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5.7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5.7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5.7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5.7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5.7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5.7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5.7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5.7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5.7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5.7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5.7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5.7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5.7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5.7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5.7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5.7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5.7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5.7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5.7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5.7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5.7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5.7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5.7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5.7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5.7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5.7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5.7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5.7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5.7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5.7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5.7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5.7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5.7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5.7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5.7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5.7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5.7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5.7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5.7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5.7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5.7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5.7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5.7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5.7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5.7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5.7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5.7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5.7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5.7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5.7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5.7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5.7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5.7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5.7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5.7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5.7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5.7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5.7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5.7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5.7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5.7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5.7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5.7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5.7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5.7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5.7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5.7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5.7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5.7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5.7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5.7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5.7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5.7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5.7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5.7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5.7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5.7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5.7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5.7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5.7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5.7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5.7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5.7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5.7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5.7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5.7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5.7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5.7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5.7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5.7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5.7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5.7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5.7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5.7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5.7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5.7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5.7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5.7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5.7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5.7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5.7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5.7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5.7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5.7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5.7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5.7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5.7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5.7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5.7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5.7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5.7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5.7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5.7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5.7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5.7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5.7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5.7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5.7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5.7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5.7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5.7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5.7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5.7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5.7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5.7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5.7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5.7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5.7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5.7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5.7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5.7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5.7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5.7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5.7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5.7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5.7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5.7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5.7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5.7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5.7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5.7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5.7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5.7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5.7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5.7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5.7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5.7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5.7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5.7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5.7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5.7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5.7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5.7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5.7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5.7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5.7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5.7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5.7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5.7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5.7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5.7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5.7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5.7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5.7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5.7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5.7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5.7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5.7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5.7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5.7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5.7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5.7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5.7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5.7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5.7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5.7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5.7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5.7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5.7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5.7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5.7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5.7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5.7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5.7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5.7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5.7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5.7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5.7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5.7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5.7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5.7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5.7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5.7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5.7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5.7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5.7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5.7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5.7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5.7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5.7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5.7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5.7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5.7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5.7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5.7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5.7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5.7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5.7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5.7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5.7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5.7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5.7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5.7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5.7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5.7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5.7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5.7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5.7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5.7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5.7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5.7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5.7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5.7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5.7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5.7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5.7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5.7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5.7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5.7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5.7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5.7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5.7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5.7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5.7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5.7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5.7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5.7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5.7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5.7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5.7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5.7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5.7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5.7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5.7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5.7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5.7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5.7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5.7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5.7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5.7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5.7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5.7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5.7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5.7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5.7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5.7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5.7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5.7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5.7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5.7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5.7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5.7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5.7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5.7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5.7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5.7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5.7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5.7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5.7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5.7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5.7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5.7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5.7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5.7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5.7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5.7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5.7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5.7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5.7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5.7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5.7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5.7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5.7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5.7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5.7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5.7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5.7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5.7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5.7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5.7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5.7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5.7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5.7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5.7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5.7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5.7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5.7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5.7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5.7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5.7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5.7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5.7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5.7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5.7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5.7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5.7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5.7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5.7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5.7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5.7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5.7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5.7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5.7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5.7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5.7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5.7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5.7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5.7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5.7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5.7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5.7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5.7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5.7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5.7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5.7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5.7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5.7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5.7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5.7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5.7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5.7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5.7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5.7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5.7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5.7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5.7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5.7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5.7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5.7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5.7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5.7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5.7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5.7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5.7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5.7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5.7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5.7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5.7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5.7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5.7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5.7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5.7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5.7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5.7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5.7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5.7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5.7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5.7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5.7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5.7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5.7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5.7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5.7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5.7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5.7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5.7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5.7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5.7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5.7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5.7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5.7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5.7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5.7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5.7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5.7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5.7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5.7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5.7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5.7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5.7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5.7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5.7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5.7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5.7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5.7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5.7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5.7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5.7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5.7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5.7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5.7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5.7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5.7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5.7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5.7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5.7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5.7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5.7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5.7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5.7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5.7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5.7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5.7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5.7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5.7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5.7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5.7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5.7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5.7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5.7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5.7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5.7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5.7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5.7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5.7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5.7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5.7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5.7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5.7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5.7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5.7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5.7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5.7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5.7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5.7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5.7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5.7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5.7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5.7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5.7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5.7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5.7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5.7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5.7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5.7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5.7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5.7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5.7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5.7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5.7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5.7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5.7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5.7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5.7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5.7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5.7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5.7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5.7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5.7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5.7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5.7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5.7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5.7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5.7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5.7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5.7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5.7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5.7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5.7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5.7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5.7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5.7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5.7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5.7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5.7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5.7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5.7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5.7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5.7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5.7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5.7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5.7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5.7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5.7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5.7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5.7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5.7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5.7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5.7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5.7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5.7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5.7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5.7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5.7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5.7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5.7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5.7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5.7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5.7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5.7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5.7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5.7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5.7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5.7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5.7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5.7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5.7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5.7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5.7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5.7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5.7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5.7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5.7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5.7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5.7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5.7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5.7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5.7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5.7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5.7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5.7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5.7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5.7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5.7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5.7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5.7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5.7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5.7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5.7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5.7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5.7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5.7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5.7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5.7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5.7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5.7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5.7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5.7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5.7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5.7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5.7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5.7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5.7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5.7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5.7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5.7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5.7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5.7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5.7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5.7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5.7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5.7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5.7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5.7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5.7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5.7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5.7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5.7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5.7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mergeCells count="5">
    <mergeCell ref="A1:F1"/>
    <mergeCell ref="D3:F3"/>
    <mergeCell ref="D4:F8"/>
    <mergeCell ref="A12:F12"/>
    <mergeCell ref="A13:F16"/>
  </mergeCells>
  <printOptions/>
  <pageMargins bottom="0.75" footer="0.0" header="0.0" left="0.7" right="0.7" top="0.75"/>
  <pageSetup orientation="landscape"/>
  <drawing r:id="rId1"/>
</worksheet>
</file>